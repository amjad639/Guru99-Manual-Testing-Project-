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mgad\Downloads\"/>
    </mc:Choice>
  </mc:AlternateContent>
  <xr:revisionPtr revIDLastSave="0" documentId="13_ncr:1_{4E6412AF-FAC0-4392-90F8-E944761E35D0}" xr6:coauthVersionLast="47" xr6:coauthVersionMax="47" xr10:uidLastSave="{00000000-0000-0000-0000-000000000000}"/>
  <bookViews>
    <workbookView xWindow="-110" yWindow="-110" windowWidth="25820" windowHeight="13900" tabRatio="500" firstSheet="3" activeTab="7" xr2:uid="{00000000-000D-0000-FFFF-FFFF00000000}"/>
  </bookViews>
  <sheets>
    <sheet name="Test Plan" sheetId="1" r:id="rId1"/>
    <sheet name="Test Scenarios" sheetId="2" r:id="rId2"/>
    <sheet name="Test Cases" sheetId="3" r:id="rId3"/>
    <sheet name="RTM" sheetId="4" r:id="rId4"/>
    <sheet name="Bug Report" sheetId="5" r:id="rId5"/>
    <sheet name="Failed-Blocked Tests" sheetId="6" r:id="rId6"/>
    <sheet name="Test Summary Report" sheetId="7" r:id="rId7"/>
    <sheet name="Test Data Setup"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8" i="7" l="1"/>
  <c r="C87" i="7"/>
  <c r="C86" i="7"/>
  <c r="C85" i="7"/>
  <c r="C84" i="7"/>
  <c r="C83" i="7"/>
  <c r="C82" i="7"/>
  <c r="C81" i="7"/>
  <c r="C80" i="7"/>
  <c r="C79" i="7"/>
  <c r="C78" i="7"/>
  <c r="C77" i="7"/>
  <c r="C76" i="7"/>
  <c r="C75" i="7"/>
  <c r="C89" i="7" s="1"/>
  <c r="H71" i="7"/>
  <c r="G71" i="7"/>
  <c r="F71" i="7"/>
  <c r="E71" i="7"/>
  <c r="D71" i="7"/>
  <c r="C71" i="7"/>
  <c r="H70" i="7"/>
  <c r="G70" i="7"/>
  <c r="F70" i="7"/>
  <c r="E70" i="7"/>
  <c r="D70" i="7"/>
  <c r="I70" i="7" s="1"/>
  <c r="C70" i="7"/>
  <c r="H69" i="7"/>
  <c r="G69" i="7"/>
  <c r="F69" i="7"/>
  <c r="F72" i="7" s="1"/>
  <c r="E69" i="7"/>
  <c r="D69" i="7"/>
  <c r="C69" i="7"/>
  <c r="H68" i="7"/>
  <c r="G68" i="7"/>
  <c r="F68" i="7"/>
  <c r="E68" i="7"/>
  <c r="E72" i="7" s="1"/>
  <c r="D68" i="7"/>
  <c r="I68" i="7" s="1"/>
  <c r="C68" i="7"/>
  <c r="C72" i="7" s="1"/>
  <c r="B65" i="7"/>
  <c r="B64" i="7"/>
  <c r="E94" i="7" s="1"/>
  <c r="H51" i="7"/>
  <c r="G51" i="7"/>
  <c r="F51" i="7"/>
  <c r="E51" i="7"/>
  <c r="D51" i="7"/>
  <c r="C51" i="7"/>
  <c r="H50" i="7"/>
  <c r="G50" i="7"/>
  <c r="F50" i="7"/>
  <c r="E50" i="7"/>
  <c r="D50" i="7"/>
  <c r="C50" i="7"/>
  <c r="H49" i="7"/>
  <c r="G49" i="7"/>
  <c r="F49" i="7"/>
  <c r="E49" i="7"/>
  <c r="D49" i="7"/>
  <c r="C49" i="7"/>
  <c r="H44" i="7"/>
  <c r="G44" i="7"/>
  <c r="F44" i="7"/>
  <c r="E44" i="7"/>
  <c r="D44" i="7"/>
  <c r="C44" i="7"/>
  <c r="H43" i="7"/>
  <c r="G43" i="7"/>
  <c r="F43" i="7"/>
  <c r="E43" i="7"/>
  <c r="D43" i="7"/>
  <c r="C43" i="7"/>
  <c r="H42" i="7"/>
  <c r="G42" i="7"/>
  <c r="F42" i="7"/>
  <c r="E42" i="7"/>
  <c r="D42" i="7"/>
  <c r="C42" i="7"/>
  <c r="H41" i="7"/>
  <c r="G41" i="7"/>
  <c r="F41" i="7"/>
  <c r="E41" i="7"/>
  <c r="D41" i="7"/>
  <c r="C41" i="7"/>
  <c r="H40" i="7"/>
  <c r="G40" i="7"/>
  <c r="F40" i="7"/>
  <c r="E40" i="7"/>
  <c r="D40" i="7"/>
  <c r="C40" i="7"/>
  <c r="H39" i="7"/>
  <c r="G39" i="7"/>
  <c r="F39" i="7"/>
  <c r="E39" i="7"/>
  <c r="D39" i="7"/>
  <c r="C39" i="7"/>
  <c r="H38" i="7"/>
  <c r="G38" i="7"/>
  <c r="F38" i="7"/>
  <c r="E38" i="7"/>
  <c r="D38" i="7"/>
  <c r="C38" i="7"/>
  <c r="H37" i="7"/>
  <c r="G37" i="7"/>
  <c r="F37" i="7"/>
  <c r="E37" i="7"/>
  <c r="D37" i="7"/>
  <c r="C37" i="7"/>
  <c r="H36" i="7"/>
  <c r="G36" i="7"/>
  <c r="F36" i="7"/>
  <c r="E36" i="7"/>
  <c r="D36" i="7"/>
  <c r="C36" i="7"/>
  <c r="H35" i="7"/>
  <c r="G35" i="7"/>
  <c r="F35" i="7"/>
  <c r="E35" i="7"/>
  <c r="D35" i="7"/>
  <c r="C35" i="7"/>
  <c r="H34" i="7"/>
  <c r="G34" i="7"/>
  <c r="F34" i="7"/>
  <c r="E34" i="7"/>
  <c r="D34" i="7"/>
  <c r="C34" i="7"/>
  <c r="H33" i="7"/>
  <c r="G33" i="7"/>
  <c r="F33" i="7"/>
  <c r="E33" i="7"/>
  <c r="D33" i="7"/>
  <c r="C33" i="7"/>
  <c r="H32" i="7"/>
  <c r="G32" i="7"/>
  <c r="F32" i="7"/>
  <c r="E32" i="7"/>
  <c r="D32" i="7"/>
  <c r="C32" i="7"/>
  <c r="H31" i="7"/>
  <c r="G31" i="7"/>
  <c r="F31" i="7"/>
  <c r="E31" i="7"/>
  <c r="D31" i="7"/>
  <c r="C31" i="7"/>
  <c r="B23" i="7"/>
  <c r="B22" i="7"/>
  <c r="B21" i="7"/>
  <c r="B20" i="7"/>
  <c r="B19" i="7"/>
  <c r="B18" i="7"/>
  <c r="B11" i="7"/>
  <c r="B10" i="7"/>
  <c r="B9" i="7"/>
  <c r="B8" i="7"/>
  <c r="B7" i="7"/>
  <c r="B6" i="7"/>
  <c r="B5" i="7"/>
  <c r="J132" i="4"/>
  <c r="I132" i="4"/>
  <c r="H132" i="4"/>
  <c r="G132" i="4"/>
  <c r="J131" i="4"/>
  <c r="I131" i="4"/>
  <c r="H131" i="4"/>
  <c r="G131" i="4"/>
  <c r="J130" i="4"/>
  <c r="I130" i="4"/>
  <c r="H130" i="4"/>
  <c r="G130" i="4"/>
  <c r="J129" i="4"/>
  <c r="I129" i="4"/>
  <c r="H129" i="4"/>
  <c r="G129" i="4"/>
  <c r="J128" i="4"/>
  <c r="I128" i="4"/>
  <c r="H128" i="4"/>
  <c r="G128" i="4"/>
  <c r="J127" i="4"/>
  <c r="I127" i="4"/>
  <c r="H127" i="4"/>
  <c r="G127" i="4"/>
  <c r="J126" i="4"/>
  <c r="I126" i="4"/>
  <c r="H126" i="4"/>
  <c r="G126" i="4"/>
  <c r="J125" i="4"/>
  <c r="I125" i="4"/>
  <c r="H125" i="4"/>
  <c r="G125" i="4"/>
  <c r="J124" i="4"/>
  <c r="I124" i="4"/>
  <c r="H124" i="4"/>
  <c r="G124" i="4"/>
  <c r="J123" i="4"/>
  <c r="I123" i="4"/>
  <c r="H123" i="4"/>
  <c r="G123" i="4"/>
  <c r="J122" i="4"/>
  <c r="I122" i="4"/>
  <c r="H122" i="4"/>
  <c r="G122" i="4"/>
  <c r="J121" i="4"/>
  <c r="I121" i="4"/>
  <c r="H121" i="4"/>
  <c r="G121" i="4"/>
  <c r="J120" i="4"/>
  <c r="I120" i="4"/>
  <c r="H120" i="4"/>
  <c r="G120" i="4"/>
  <c r="J119" i="4"/>
  <c r="I119" i="4"/>
  <c r="H119" i="4"/>
  <c r="G119" i="4"/>
  <c r="J118" i="4"/>
  <c r="I118" i="4"/>
  <c r="K118" i="4" s="1"/>
  <c r="H118" i="4"/>
  <c r="G118" i="4"/>
  <c r="J117" i="4"/>
  <c r="I117" i="4"/>
  <c r="H117" i="4"/>
  <c r="G117" i="4"/>
  <c r="J116" i="4"/>
  <c r="I116" i="4"/>
  <c r="H116" i="4"/>
  <c r="G116" i="4"/>
  <c r="K115" i="4"/>
  <c r="J114" i="4"/>
  <c r="I114" i="4"/>
  <c r="H114" i="4"/>
  <c r="G114" i="4"/>
  <c r="J113" i="4"/>
  <c r="I113" i="4"/>
  <c r="K113" i="4" s="1"/>
  <c r="H113" i="4"/>
  <c r="G113" i="4"/>
  <c r="J112" i="4"/>
  <c r="I112" i="4"/>
  <c r="H112" i="4"/>
  <c r="G112" i="4"/>
  <c r="J111" i="4"/>
  <c r="I111" i="4"/>
  <c r="H111" i="4"/>
  <c r="G111" i="4"/>
  <c r="J110" i="4"/>
  <c r="I110" i="4"/>
  <c r="H110" i="4"/>
  <c r="G110" i="4"/>
  <c r="J109" i="4"/>
  <c r="I109" i="4"/>
  <c r="H109" i="4"/>
  <c r="G109" i="4"/>
  <c r="J108" i="4"/>
  <c r="I108" i="4"/>
  <c r="H108" i="4"/>
  <c r="G108" i="4"/>
  <c r="J107" i="4"/>
  <c r="I107" i="4"/>
  <c r="H107" i="4"/>
  <c r="G107" i="4"/>
  <c r="J106" i="4"/>
  <c r="I106" i="4"/>
  <c r="H106" i="4"/>
  <c r="G106" i="4"/>
  <c r="K105" i="4"/>
  <c r="J104" i="4"/>
  <c r="I104" i="4"/>
  <c r="H104" i="4"/>
  <c r="G104" i="4"/>
  <c r="J103" i="4"/>
  <c r="I103" i="4"/>
  <c r="H103" i="4"/>
  <c r="G103" i="4"/>
  <c r="J102" i="4"/>
  <c r="I102" i="4"/>
  <c r="H102" i="4"/>
  <c r="G102" i="4"/>
  <c r="J101" i="4"/>
  <c r="I101" i="4"/>
  <c r="H101" i="4"/>
  <c r="G101" i="4"/>
  <c r="J100" i="4"/>
  <c r="I100" i="4"/>
  <c r="H100" i="4"/>
  <c r="G100" i="4"/>
  <c r="J99" i="4"/>
  <c r="I99" i="4"/>
  <c r="H99" i="4"/>
  <c r="G99" i="4"/>
  <c r="K99" i="4" s="1"/>
  <c r="J98" i="4"/>
  <c r="I98" i="4"/>
  <c r="H98" i="4"/>
  <c r="G98" i="4"/>
  <c r="J97" i="4"/>
  <c r="I97" i="4"/>
  <c r="H97" i="4"/>
  <c r="G97" i="4"/>
  <c r="J96" i="4"/>
  <c r="I96" i="4"/>
  <c r="H96" i="4"/>
  <c r="G96" i="4"/>
  <c r="K95" i="4"/>
  <c r="J94" i="4"/>
  <c r="I94" i="4"/>
  <c r="H94" i="4"/>
  <c r="G94" i="4"/>
  <c r="J93" i="4"/>
  <c r="I93" i="4"/>
  <c r="H93" i="4"/>
  <c r="G93" i="4"/>
  <c r="J92" i="4"/>
  <c r="I92" i="4"/>
  <c r="H92" i="4"/>
  <c r="G92" i="4"/>
  <c r="J91" i="4"/>
  <c r="I91" i="4"/>
  <c r="H91" i="4"/>
  <c r="G91" i="4"/>
  <c r="J90" i="4"/>
  <c r="I90" i="4"/>
  <c r="H90" i="4"/>
  <c r="G90" i="4"/>
  <c r="J89" i="4"/>
  <c r="I89" i="4"/>
  <c r="H89" i="4"/>
  <c r="G89" i="4"/>
  <c r="J88" i="4"/>
  <c r="I88" i="4"/>
  <c r="H88" i="4"/>
  <c r="G88" i="4"/>
  <c r="J87" i="4"/>
  <c r="I87" i="4"/>
  <c r="H87" i="4"/>
  <c r="G87" i="4"/>
  <c r="J86" i="4"/>
  <c r="I86" i="4"/>
  <c r="H86" i="4"/>
  <c r="G86" i="4"/>
  <c r="J85" i="4"/>
  <c r="I85" i="4"/>
  <c r="H85" i="4"/>
  <c r="G85" i="4"/>
  <c r="K84" i="4"/>
  <c r="J83" i="4"/>
  <c r="I83" i="4"/>
  <c r="H83" i="4"/>
  <c r="G83" i="4"/>
  <c r="J82" i="4"/>
  <c r="I82" i="4"/>
  <c r="H82" i="4"/>
  <c r="G82" i="4"/>
  <c r="J81" i="4"/>
  <c r="I81" i="4"/>
  <c r="H81" i="4"/>
  <c r="G81" i="4"/>
  <c r="J80" i="4"/>
  <c r="I80" i="4"/>
  <c r="H80" i="4"/>
  <c r="G80" i="4"/>
  <c r="J79" i="4"/>
  <c r="I79" i="4"/>
  <c r="H79" i="4"/>
  <c r="G79" i="4"/>
  <c r="J78" i="4"/>
  <c r="I78" i="4"/>
  <c r="H78" i="4"/>
  <c r="G78" i="4"/>
  <c r="J77" i="4"/>
  <c r="I77" i="4"/>
  <c r="H77" i="4"/>
  <c r="G77" i="4"/>
  <c r="J76" i="4"/>
  <c r="I76" i="4"/>
  <c r="H76" i="4"/>
  <c r="G76" i="4"/>
  <c r="J75" i="4"/>
  <c r="I75" i="4"/>
  <c r="H75" i="4"/>
  <c r="G75" i="4"/>
  <c r="J74" i="4"/>
  <c r="I74" i="4"/>
  <c r="H74" i="4"/>
  <c r="G74" i="4"/>
  <c r="J73" i="4"/>
  <c r="I73" i="4"/>
  <c r="H73" i="4"/>
  <c r="G73" i="4"/>
  <c r="J72" i="4"/>
  <c r="I72" i="4"/>
  <c r="H72" i="4"/>
  <c r="G72" i="4"/>
  <c r="J71" i="4"/>
  <c r="I71" i="4"/>
  <c r="K71" i="4" s="1"/>
  <c r="H71" i="4"/>
  <c r="G71" i="4"/>
  <c r="J70" i="4"/>
  <c r="I70" i="4"/>
  <c r="H70" i="4"/>
  <c r="G70" i="4"/>
  <c r="J69" i="4"/>
  <c r="I69" i="4"/>
  <c r="H69" i="4"/>
  <c r="G69" i="4"/>
  <c r="J68" i="4"/>
  <c r="I68" i="4"/>
  <c r="H68" i="4"/>
  <c r="G68" i="4"/>
  <c r="J67" i="4"/>
  <c r="I67" i="4"/>
  <c r="H67" i="4"/>
  <c r="G67" i="4"/>
  <c r="J66" i="4"/>
  <c r="I66" i="4"/>
  <c r="H66" i="4"/>
  <c r="G66" i="4"/>
  <c r="J65" i="4"/>
  <c r="I65" i="4"/>
  <c r="H65" i="4"/>
  <c r="G65" i="4"/>
  <c r="J64" i="4"/>
  <c r="I64" i="4"/>
  <c r="H64" i="4"/>
  <c r="G64" i="4"/>
  <c r="J63" i="4"/>
  <c r="I63" i="4"/>
  <c r="H63" i="4"/>
  <c r="G63" i="4"/>
  <c r="J62" i="4"/>
  <c r="I62" i="4"/>
  <c r="H62" i="4"/>
  <c r="G62" i="4"/>
  <c r="J61" i="4"/>
  <c r="I61" i="4"/>
  <c r="H61" i="4"/>
  <c r="G61" i="4"/>
  <c r="J60" i="4"/>
  <c r="I60" i="4"/>
  <c r="H60" i="4"/>
  <c r="G60" i="4"/>
  <c r="J59" i="4"/>
  <c r="I59" i="4"/>
  <c r="H59" i="4"/>
  <c r="G59" i="4"/>
  <c r="J58" i="4"/>
  <c r="I58" i="4"/>
  <c r="H58" i="4"/>
  <c r="G58" i="4"/>
  <c r="J57" i="4"/>
  <c r="I57" i="4"/>
  <c r="H57" i="4"/>
  <c r="G57" i="4"/>
  <c r="J56" i="4"/>
  <c r="I56" i="4"/>
  <c r="H56" i="4"/>
  <c r="G56" i="4"/>
  <c r="J55" i="4"/>
  <c r="I55" i="4"/>
  <c r="H55" i="4"/>
  <c r="G55" i="4"/>
  <c r="J54" i="4"/>
  <c r="I54" i="4"/>
  <c r="H54" i="4"/>
  <c r="G54" i="4"/>
  <c r="J53" i="4"/>
  <c r="I53" i="4"/>
  <c r="H53" i="4"/>
  <c r="G53" i="4"/>
  <c r="J52" i="4"/>
  <c r="I52" i="4"/>
  <c r="H52" i="4"/>
  <c r="G52" i="4"/>
  <c r="J51" i="4"/>
  <c r="I51" i="4"/>
  <c r="H51" i="4"/>
  <c r="G51" i="4"/>
  <c r="J50" i="4"/>
  <c r="I50" i="4"/>
  <c r="H50" i="4"/>
  <c r="G50" i="4"/>
  <c r="J49" i="4"/>
  <c r="I49" i="4"/>
  <c r="H49" i="4"/>
  <c r="G49" i="4"/>
  <c r="J48" i="4"/>
  <c r="I48" i="4"/>
  <c r="H48" i="4"/>
  <c r="G48" i="4"/>
  <c r="J47" i="4"/>
  <c r="I47" i="4"/>
  <c r="H47" i="4"/>
  <c r="G47" i="4"/>
  <c r="J46" i="4"/>
  <c r="I46" i="4"/>
  <c r="H46" i="4"/>
  <c r="G46" i="4"/>
  <c r="J45" i="4"/>
  <c r="I45" i="4"/>
  <c r="H45" i="4"/>
  <c r="G45" i="4"/>
  <c r="J44" i="4"/>
  <c r="I44" i="4"/>
  <c r="H44" i="4"/>
  <c r="G44" i="4"/>
  <c r="J43" i="4"/>
  <c r="I43" i="4"/>
  <c r="H43" i="4"/>
  <c r="G43" i="4"/>
  <c r="J42" i="4"/>
  <c r="I42" i="4"/>
  <c r="H42" i="4"/>
  <c r="G42" i="4"/>
  <c r="J41" i="4"/>
  <c r="I41" i="4"/>
  <c r="H41" i="4"/>
  <c r="G41" i="4"/>
  <c r="J40" i="4"/>
  <c r="I40" i="4"/>
  <c r="H40" i="4"/>
  <c r="G40" i="4"/>
  <c r="J39" i="4"/>
  <c r="I39" i="4"/>
  <c r="H39" i="4"/>
  <c r="G39" i="4"/>
  <c r="J38" i="4"/>
  <c r="I38" i="4"/>
  <c r="H38" i="4"/>
  <c r="G38" i="4"/>
  <c r="J37" i="4"/>
  <c r="I37" i="4"/>
  <c r="H37" i="4"/>
  <c r="G37" i="4"/>
  <c r="J36" i="4"/>
  <c r="I36" i="4"/>
  <c r="H36" i="4"/>
  <c r="G36" i="4"/>
  <c r="J35" i="4"/>
  <c r="I35" i="4"/>
  <c r="H35" i="4"/>
  <c r="G35" i="4"/>
  <c r="J34" i="4"/>
  <c r="I34" i="4"/>
  <c r="H34" i="4"/>
  <c r="G34" i="4"/>
  <c r="J33" i="4"/>
  <c r="I33" i="4"/>
  <c r="H33" i="4"/>
  <c r="G33" i="4"/>
  <c r="J32" i="4"/>
  <c r="I32" i="4"/>
  <c r="H32" i="4"/>
  <c r="G32" i="4"/>
  <c r="J31" i="4"/>
  <c r="I31" i="4"/>
  <c r="H31" i="4"/>
  <c r="G31" i="4"/>
  <c r="J30" i="4"/>
  <c r="I30" i="4"/>
  <c r="H30" i="4"/>
  <c r="G30" i="4"/>
  <c r="J29" i="4"/>
  <c r="I29" i="4"/>
  <c r="H29" i="4"/>
  <c r="G29" i="4"/>
  <c r="J28" i="4"/>
  <c r="I28" i="4"/>
  <c r="H28" i="4"/>
  <c r="G28" i="4"/>
  <c r="J27" i="4"/>
  <c r="I27" i="4"/>
  <c r="H27" i="4"/>
  <c r="G27" i="4"/>
  <c r="J26" i="4"/>
  <c r="I26" i="4"/>
  <c r="H26" i="4"/>
  <c r="G26" i="4"/>
  <c r="J25" i="4"/>
  <c r="I25" i="4"/>
  <c r="H25" i="4"/>
  <c r="G25" i="4"/>
  <c r="J24" i="4"/>
  <c r="I24" i="4"/>
  <c r="H24" i="4"/>
  <c r="G24" i="4"/>
  <c r="J23" i="4"/>
  <c r="I23" i="4"/>
  <c r="H23" i="4"/>
  <c r="G23" i="4"/>
  <c r="J22" i="4"/>
  <c r="I22" i="4"/>
  <c r="H22" i="4"/>
  <c r="G22" i="4"/>
  <c r="J21" i="4"/>
  <c r="I21" i="4"/>
  <c r="H21" i="4"/>
  <c r="G21" i="4"/>
  <c r="J20" i="4"/>
  <c r="I20" i="4"/>
  <c r="H20" i="4"/>
  <c r="G20" i="4"/>
  <c r="J19" i="4"/>
  <c r="I19" i="4"/>
  <c r="H19" i="4"/>
  <c r="G19" i="4"/>
  <c r="J18" i="4"/>
  <c r="I18" i="4"/>
  <c r="H18" i="4"/>
  <c r="G18" i="4"/>
  <c r="J17" i="4"/>
  <c r="I17" i="4"/>
  <c r="H17" i="4"/>
  <c r="G17" i="4"/>
  <c r="J16" i="4"/>
  <c r="I16" i="4"/>
  <c r="H16" i="4"/>
  <c r="G16" i="4"/>
  <c r="J15" i="4"/>
  <c r="I15" i="4"/>
  <c r="H15" i="4"/>
  <c r="G15" i="4"/>
  <c r="J14" i="4"/>
  <c r="I14" i="4"/>
  <c r="H14" i="4"/>
  <c r="G14" i="4"/>
  <c r="J13" i="4"/>
  <c r="I13" i="4"/>
  <c r="H13" i="4"/>
  <c r="G13" i="4"/>
  <c r="J12" i="4"/>
  <c r="I12" i="4"/>
  <c r="H12" i="4"/>
  <c r="G12" i="4"/>
  <c r="J11" i="4"/>
  <c r="I11" i="4"/>
  <c r="H11" i="4"/>
  <c r="G11" i="4"/>
  <c r="J10" i="4"/>
  <c r="I10" i="4"/>
  <c r="H10" i="4"/>
  <c r="G10" i="4"/>
  <c r="J9" i="4"/>
  <c r="I9" i="4"/>
  <c r="H9" i="4"/>
  <c r="G9" i="4"/>
  <c r="J8" i="4"/>
  <c r="I8" i="4"/>
  <c r="H8" i="4"/>
  <c r="G8" i="4"/>
  <c r="J7" i="4"/>
  <c r="I7" i="4"/>
  <c r="H7" i="4"/>
  <c r="G7" i="4"/>
  <c r="J6" i="4"/>
  <c r="I6" i="4"/>
  <c r="H6" i="4"/>
  <c r="G6" i="4"/>
  <c r="J5" i="4"/>
  <c r="I5" i="4"/>
  <c r="H5" i="4"/>
  <c r="G5" i="4"/>
  <c r="J4" i="4"/>
  <c r="I4" i="4"/>
  <c r="H4" i="4"/>
  <c r="G4" i="4"/>
  <c r="J3" i="4"/>
  <c r="I3" i="4"/>
  <c r="H3" i="4"/>
  <c r="G3" i="4"/>
  <c r="J2" i="4"/>
  <c r="I2" i="4"/>
  <c r="H2" i="4"/>
  <c r="G2" i="4"/>
  <c r="K110" i="4" l="1"/>
  <c r="J42" i="7"/>
  <c r="K32" i="7"/>
  <c r="J39" i="7"/>
  <c r="J35" i="7"/>
  <c r="K116" i="4"/>
  <c r="K18" i="4"/>
  <c r="K22" i="4"/>
  <c r="K26" i="4"/>
  <c r="K30" i="4"/>
  <c r="K34" i="4"/>
  <c r="K38" i="4"/>
  <c r="K7" i="4"/>
  <c r="K8" i="4"/>
  <c r="K24" i="4"/>
  <c r="K32" i="4"/>
  <c r="K40" i="4"/>
  <c r="K44" i="4"/>
  <c r="K102" i="4"/>
  <c r="K23" i="4"/>
  <c r="K10" i="4"/>
  <c r="K74" i="4"/>
  <c r="K78" i="4"/>
  <c r="K82" i="4"/>
  <c r="K125" i="4"/>
  <c r="K129" i="4"/>
  <c r="K14" i="4"/>
  <c r="I43" i="7"/>
  <c r="K11" i="4"/>
  <c r="K72" i="4"/>
  <c r="K76" i="4"/>
  <c r="J41" i="7"/>
  <c r="K94" i="4"/>
  <c r="K124" i="4"/>
  <c r="K36" i="7"/>
  <c r="K44" i="7"/>
  <c r="K81" i="4"/>
  <c r="J31" i="7"/>
  <c r="J36" i="7"/>
  <c r="K3" i="4"/>
  <c r="K54" i="4"/>
  <c r="K62" i="4"/>
  <c r="K121" i="4"/>
  <c r="K42" i="7"/>
  <c r="K46" i="4"/>
  <c r="K47" i="4"/>
  <c r="K51" i="4"/>
  <c r="K55" i="4"/>
  <c r="K91" i="4"/>
  <c r="K100" i="4"/>
  <c r="K104" i="4"/>
  <c r="I37" i="7"/>
  <c r="K39" i="4"/>
  <c r="K79" i="4"/>
  <c r="K83" i="4"/>
  <c r="K88" i="4"/>
  <c r="K92" i="4"/>
  <c r="J37" i="7"/>
  <c r="K35" i="7"/>
  <c r="J40" i="7"/>
  <c r="B27" i="7"/>
  <c r="A99" i="7" s="1"/>
  <c r="K119" i="4"/>
  <c r="K123" i="4"/>
  <c r="K4" i="4"/>
  <c r="K9" i="4"/>
  <c r="K13" i="4"/>
  <c r="K41" i="4"/>
  <c r="K60" i="4"/>
  <c r="K106" i="4"/>
  <c r="K33" i="7"/>
  <c r="K57" i="4"/>
  <c r="K89" i="4"/>
  <c r="K41" i="7"/>
  <c r="J33" i="7"/>
  <c r="K43" i="4"/>
  <c r="K70" i="4"/>
  <c r="K114" i="4"/>
  <c r="J32" i="7"/>
  <c r="K90" i="4"/>
  <c r="K5" i="4"/>
  <c r="K63" i="4"/>
  <c r="K67" i="4"/>
  <c r="K87" i="4"/>
  <c r="K107" i="4"/>
  <c r="K111" i="4"/>
  <c r="K127" i="4"/>
  <c r="K131" i="4"/>
  <c r="K36" i="4"/>
  <c r="K48" i="4"/>
  <c r="K59" i="4"/>
  <c r="B24" i="7"/>
  <c r="E93" i="7" s="1"/>
  <c r="K40" i="7"/>
  <c r="I44" i="7"/>
  <c r="K2" i="4"/>
  <c r="K25" i="4"/>
  <c r="K29" i="4"/>
  <c r="K6" i="4"/>
  <c r="K17" i="4"/>
  <c r="K21" i="4"/>
  <c r="K56" i="4"/>
  <c r="K103" i="4"/>
  <c r="C93" i="7"/>
  <c r="K28" i="4"/>
  <c r="K96" i="4"/>
  <c r="K120" i="4"/>
  <c r="K37" i="7"/>
  <c r="K12" i="4"/>
  <c r="K33" i="4"/>
  <c r="K37" i="4"/>
  <c r="K45" i="4"/>
  <c r="K52" i="4"/>
  <c r="K64" i="4"/>
  <c r="K75" i="4"/>
  <c r="K108" i="4"/>
  <c r="K128" i="4"/>
  <c r="K38" i="7"/>
  <c r="C45" i="7"/>
  <c r="K132" i="4"/>
  <c r="J38" i="7"/>
  <c r="K43" i="7"/>
  <c r="K42" i="4"/>
  <c r="K49" i="4"/>
  <c r="K53" i="4"/>
  <c r="K61" i="4"/>
  <c r="K68" i="4"/>
  <c r="K80" i="4"/>
  <c r="K97" i="4"/>
  <c r="K112" i="4"/>
  <c r="E45" i="7"/>
  <c r="K15" i="4"/>
  <c r="K19" i="4"/>
  <c r="K117" i="4"/>
  <c r="F45" i="7"/>
  <c r="K20" i="4"/>
  <c r="K50" i="4"/>
  <c r="K73" i="4"/>
  <c r="K101" i="4"/>
  <c r="G45" i="7"/>
  <c r="K34" i="7"/>
  <c r="K31" i="4"/>
  <c r="K35" i="4"/>
  <c r="K58" i="4"/>
  <c r="K65" i="4"/>
  <c r="K69" i="4"/>
  <c r="K77" i="4"/>
  <c r="K85" i="4"/>
  <c r="K93" i="4"/>
  <c r="K109" i="4"/>
  <c r="H45" i="7"/>
  <c r="J34" i="7"/>
  <c r="K39" i="7"/>
  <c r="K98" i="4"/>
  <c r="K122" i="4"/>
  <c r="K31" i="7"/>
  <c r="K16" i="4"/>
  <c r="K27" i="4"/>
  <c r="K66" i="4"/>
  <c r="K86" i="4"/>
  <c r="K126" i="4"/>
  <c r="K130" i="4"/>
  <c r="I32" i="7"/>
  <c r="J44" i="7"/>
  <c r="I69" i="7"/>
  <c r="G72" i="7"/>
  <c r="H72" i="7"/>
  <c r="I71" i="7"/>
  <c r="I72" i="7"/>
  <c r="I39" i="7"/>
  <c r="D45" i="7"/>
  <c r="D72" i="7"/>
  <c r="I41" i="7"/>
  <c r="I34" i="7"/>
  <c r="I36" i="7"/>
  <c r="J43" i="7"/>
  <c r="I38" i="7"/>
  <c r="I31" i="7"/>
  <c r="C94" i="7"/>
  <c r="I40" i="7"/>
  <c r="I33" i="7"/>
  <c r="I42" i="7"/>
  <c r="I35" i="7"/>
  <c r="C96" i="7"/>
  <c r="E96" i="7"/>
  <c r="J45" i="7" l="1"/>
  <c r="B26" i="7"/>
  <c r="B25" i="7"/>
  <c r="C55" i="7"/>
  <c r="C57" i="7"/>
  <c r="C58" i="7"/>
  <c r="C59" i="7"/>
  <c r="C56" i="7"/>
  <c r="K45" i="7"/>
  <c r="I45" i="7"/>
  <c r="C60" i="7" l="1"/>
  <c r="C61" i="7" s="1"/>
  <c r="C95" i="7"/>
  <c r="E95"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10" authorId="0" shapeId="0" xr:uid="{00000000-0006-0000-0200-000001000000}">
      <text>
        <r>
          <rPr>
            <sz val="10"/>
            <rFont val="Arial"/>
            <family val="2"/>
          </rPr>
          <t>Test data corrected: the original data listed the valid password. The failed-attempt test must use a WRONG password (wrongpas, as in TC_LG_006). Please re-run to confirm the actual result.</t>
        </r>
      </text>
    </comment>
    <comment ref="I11" authorId="0" shapeId="0" xr:uid="{00000000-0006-0000-0200-000002000000}">
      <text>
        <r>
          <rPr>
            <sz val="10"/>
            <rFont val="Arial"/>
            <family val="2"/>
          </rPr>
          <t>Depends on TC_LG_009 - please re-run after TC_LG_009 is repeated with a wrong password.</t>
        </r>
      </text>
    </comment>
    <comment ref="I16" authorId="0" shapeId="0" xr:uid="{00000000-0006-0000-0200-000003000000}">
      <text>
        <r>
          <rPr>
            <sz val="10"/>
            <rFont val="Arial"/>
            <family val="2"/>
          </rPr>
          <t>The executed data had a space INSIDE the User ID (mngr 668217), so the title, description and steps were aligned with that data.</t>
        </r>
      </text>
    </comment>
    <comment ref="I39" authorId="0" shapeId="0" xr:uid="{00000000-0006-0000-0200-000004000000}">
      <text>
        <r>
          <rPr>
            <sz val="10"/>
            <rFont val="Arial"/>
            <family val="2"/>
          </rPr>
          <t>Blocked reason was not recorded. It was inferred from the date-picker field - please confirm.</t>
        </r>
      </text>
    </comment>
    <comment ref="I107" authorId="0" shapeId="0" xr:uid="{00000000-0006-0000-0200-000005000000}">
      <text>
        <r>
          <rPr>
            <sz val="10"/>
            <rFont val="Arial"/>
            <family val="2"/>
          </rPr>
          <t>Test data follows the actual result (a1a@gmail.com). Please confirm which customer owns this email.</t>
        </r>
      </text>
    </comment>
    <comment ref="I116" authorId="0" shapeId="0" xr:uid="{00000000-0006-0000-0200-000006000000}">
      <text>
        <r>
          <rPr>
            <sz val="10"/>
            <rFont val="Arial"/>
            <family val="2"/>
          </rPr>
          <t>Status is Pass but the actual result describes an error page and no confirmation dialog is mentioned - please confirm the status.</t>
        </r>
      </text>
    </comment>
    <comment ref="I118" authorId="0" shapeId="0" xr:uid="{00000000-0006-0000-0200-000007000000}">
      <text>
        <r>
          <rPr>
            <sz val="10"/>
            <rFont val="Arial"/>
            <family val="2"/>
          </rPr>
          <t>Status is Pass although the error page was displayed - please confirm the status.</t>
        </r>
      </text>
    </comment>
    <comment ref="I119" authorId="0" shapeId="0" xr:uid="{00000000-0006-0000-0200-000008000000}">
      <text>
        <r>
          <rPr>
            <sz val="10"/>
            <rFont val="Arial"/>
            <family val="2"/>
          </rPr>
          <t>Status is Pass although the error page was displayed - please confirm the status.</t>
        </r>
      </text>
    </comment>
    <comment ref="I141" authorId="0" shapeId="0" xr:uid="{00000000-0006-0000-0200-000009000000}">
      <text>
        <r>
          <rPr>
            <sz val="10"/>
            <rFont val="Arial"/>
            <family val="2"/>
          </rPr>
          <t>Status is Blocked but the system displayed a message - please confirm the status (Pass/Fail).</t>
        </r>
      </text>
    </comment>
    <comment ref="I274" authorId="0" shapeId="0" xr:uid="{00000000-0006-0000-0200-00000A000000}">
      <text>
        <r>
          <rPr>
            <sz val="10"/>
            <rFont val="Arial"/>
            <family val="2"/>
          </rPr>
          <t>The Reset test shows the result of a Submit - please confirm that Reset was clicked.</t>
        </r>
      </text>
    </comment>
    <comment ref="I278" authorId="0" shapeId="0" xr:uid="{00000000-0006-0000-0200-00000B000000}">
      <text>
        <r>
          <rPr>
            <sz val="10"/>
            <rFont val="Arial"/>
            <family val="2"/>
          </rPr>
          <t>Status is Fail but the recorded actual result equals the expected result - please correct the actual result.</t>
        </r>
      </text>
    </comment>
    <comment ref="I298" authorId="0" shapeId="0" xr:uid="{00000000-0006-0000-0200-00000C000000}">
      <text>
        <r>
          <rPr>
            <sz val="10"/>
            <rFont val="Arial"/>
            <family val="2"/>
          </rPr>
          <t>The same account number (185674) was used for the "&gt;5", "exactly 5" and "1-4" transaction tests, which cannot all be true at once.</t>
        </r>
      </text>
    </comment>
    <comment ref="I299" authorId="0" shapeId="0" xr:uid="{00000000-0006-0000-0200-00000D000000}">
      <text>
        <r>
          <rPr>
            <sz val="10"/>
            <rFont val="Arial"/>
            <family val="2"/>
          </rPr>
          <t>The same account number (185674) was used for the "&gt;5", "exactly 5" and "1-4" transaction tests, which cannot all be true at once.</t>
        </r>
      </text>
    </comment>
    <comment ref="I337" authorId="0" shapeId="0" xr:uid="{00000000-0006-0000-0200-00000E000000}">
      <text>
        <r>
          <rPr>
            <sz val="10"/>
            <rFont val="Arial"/>
            <family val="2"/>
          </rPr>
          <t>Status is Fail but the recorded actual result equals the expected result - please correct the actual result.</t>
        </r>
      </text>
    </comment>
    <comment ref="I338" authorId="0" shapeId="0" xr:uid="{00000000-0006-0000-0200-00000F000000}">
      <text>
        <r>
          <rPr>
            <sz val="10"/>
            <rFont val="Arial"/>
            <family val="2"/>
          </rPr>
          <t>Status is Fail but the recorded actual result equals the expected result - please correct the actual result.</t>
        </r>
      </text>
    </comment>
    <comment ref="I339" authorId="0" shapeId="0" xr:uid="{00000000-0006-0000-0200-000010000000}">
      <text>
        <r>
          <rPr>
            <sz val="10"/>
            <rFont val="Arial"/>
            <family val="2"/>
          </rPr>
          <t>Status is Fail but the recorded actual result equals the expected result - please correct the actual result.</t>
        </r>
      </text>
    </comment>
    <comment ref="I340" authorId="0" shapeId="0" xr:uid="{00000000-0006-0000-0200-000011000000}">
      <text>
        <r>
          <rPr>
            <sz val="10"/>
            <rFont val="Arial"/>
            <family val="2"/>
          </rPr>
          <t>Status is Fail but the recorded actual result equals the expected result - please correct the actual result.</t>
        </r>
      </text>
    </comment>
  </commentList>
</comments>
</file>

<file path=xl/sharedStrings.xml><?xml version="1.0" encoding="utf-8"?>
<sst xmlns="http://schemas.openxmlformats.org/spreadsheetml/2006/main" count="8199" uniqueCount="3112">
  <si>
    <t>Section</t>
  </si>
  <si>
    <t>Details</t>
  </si>
  <si>
    <t>Project name</t>
  </si>
  <si>
    <t>Guru99 Banking project</t>
  </si>
  <si>
    <t>Document</t>
  </si>
  <si>
    <t>Test plan</t>
  </si>
  <si>
    <t>SRS version</t>
  </si>
  <si>
    <t>Testing type</t>
  </si>
  <si>
    <t>Manual functional testing</t>
  </si>
  <si>
    <t>Objective</t>
  </si>
  <si>
    <t>Verify that Guru99 Bank meets the specified functional requirements</t>
  </si>
  <si>
    <t>Scope</t>
  </si>
  <si>
    <t>Functional testing and external interfaces</t>
  </si>
  <si>
    <t>Out of scope</t>
  </si>
  <si>
    <t>Automation testing and performance/stress testing</t>
  </si>
  <si>
    <t>Roles</t>
  </si>
  <si>
    <t>Manager and customer</t>
  </si>
  <si>
    <t>Test environment</t>
  </si>
  <si>
    <t>Browser, OS</t>
  </si>
  <si>
    <t>Test data</t>
  </si>
  <si>
    <t>Customer, account, login and transaction data</t>
  </si>
  <si>
    <t>Entry criteria</t>
  </si>
  <si>
    <t>Requirements available and test environment accessible</t>
  </si>
  <si>
    <t>Exit criteria</t>
  </si>
  <si>
    <t>Planned test cases executed and defects documented</t>
  </si>
  <si>
    <t>Deliverables</t>
  </si>
  <si>
    <t>Test cases, bug report, RTM, test execution, summary report</t>
  </si>
  <si>
    <t>Test approach</t>
  </si>
  <si>
    <t>Black-box manual testing using requirement-based testing, equivalence partitioning, boundary value analysis, positive and negative testing and error guessing</t>
  </si>
  <si>
    <t>Test levels</t>
  </si>
  <si>
    <t>System testing of each module through the web interface</t>
  </si>
  <si>
    <t>Tools</t>
  </si>
  <si>
    <t>Microsoft Excel (test cases, RTM, bug report, reports); Google Chrome; AI tools were used to speed up test-case drafting and every result was reviewed manually</t>
  </si>
  <si>
    <t>Schedule</t>
  </si>
  <si>
    <t>Sep 2026 - Oct 2026</t>
  </si>
  <si>
    <t>Test case status</t>
  </si>
  <si>
    <t>Pass, Fail, Blocked (could not be completed), Not Applicable, Not Executed</t>
  </si>
  <si>
    <t>Defect severity</t>
  </si>
  <si>
    <t>Critical: security bypass or a core function is unusable. High: a major function fails or gives no result. Medium: a validation rule is missing or data is saved wrongly. Low: field limits, wording or minor behavior</t>
  </si>
  <si>
    <t>Defect priority</t>
  </si>
  <si>
    <t>High: fix first. Medium: fix in the next release. Low: fix when time allows</t>
  </si>
  <si>
    <t>Defect life cycle</t>
  </si>
  <si>
    <t>Open, In Progress, Fixed, Retest, Closed (or Rejected)</t>
  </si>
  <si>
    <t>Risks and assumptions</t>
  </si>
  <si>
    <t>The application is a shared public demo site that may change, show errors or lose data; results depend on its behavior at the time of execution</t>
  </si>
  <si>
    <t>Scenario ID</t>
  </si>
  <si>
    <t>Scenario</t>
  </si>
  <si>
    <t>Req</t>
  </si>
  <si>
    <t>Test Cases</t>
  </si>
  <si>
    <t>SC_LG_01</t>
  </si>
  <si>
    <t>Successful login as Manager</t>
  </si>
  <si>
    <t>3.1.1</t>
  </si>
  <si>
    <t>TC_LG_001</t>
  </si>
  <si>
    <t>SC_LG_02</t>
  </si>
  <si>
    <t>Successful login as Customer</t>
  </si>
  <si>
    <t>-</t>
  </si>
  <si>
    <t>SC_LG_03</t>
  </si>
  <si>
    <t>Empty fields (User ID / Password / both)</t>
  </si>
  <si>
    <t>L1, L2</t>
  </si>
  <si>
    <t>TC_LG_002 - TC_LG_004</t>
  </si>
  <si>
    <t>SC_LG_04</t>
  </si>
  <si>
    <t>Invalid credentials (User ID or Password)</t>
  </si>
  <si>
    <t>L3</t>
  </si>
  <si>
    <t>TC_LG_005 - TC_LG_006</t>
  </si>
  <si>
    <t>SC_LG_05</t>
  </si>
  <si>
    <t>Case sensitivity of the credentials</t>
  </si>
  <si>
    <t>TC_LG_007 - TC_LG_008</t>
  </si>
  <si>
    <t>SC_LG_06</t>
  </si>
  <si>
    <t>Account lockout after 3 failed attempts</t>
  </si>
  <si>
    <t>L4, L5</t>
  </si>
  <si>
    <t>TC_LG_009</t>
  </si>
  <si>
    <t>SC_LG_07</t>
  </si>
  <si>
    <t>Login blocked for a locked account, even with valid credentials</t>
  </si>
  <si>
    <t>L4</t>
  </si>
  <si>
    <t>TC_LG_010</t>
  </si>
  <si>
    <t>SC_LG_08</t>
  </si>
  <si>
    <t>Reset button behavior</t>
  </si>
  <si>
    <t>TC_LG_011</t>
  </si>
  <si>
    <t>SC_LG_09</t>
  </si>
  <si>
    <t>Field properties (password masking, 30-character limit, spaces, special characters)</t>
  </si>
  <si>
    <t>TC_LG_012 - TC_LG_013, TC_LG_015</t>
  </si>
  <si>
    <t>SC_LG_10</t>
  </si>
  <si>
    <t>Logout and session termination</t>
  </si>
  <si>
    <t>2.0</t>
  </si>
  <si>
    <t>TC_LG_016 - TC_LG_017</t>
  </si>
  <si>
    <t>SC_LG_11</t>
  </si>
  <si>
    <t>Session timeout after 15 minutes of inactivity</t>
  </si>
  <si>
    <t>2.1.4 / E54</t>
  </si>
  <si>
    <t>SC_LG_12</t>
  </si>
  <si>
    <t>Access to protected pages without logging in</t>
  </si>
  <si>
    <t>RBAC</t>
  </si>
  <si>
    <t>TC_LG_018</t>
  </si>
  <si>
    <t>SC_LG_13</t>
  </si>
  <si>
    <t>SQL injection on the login form</t>
  </si>
  <si>
    <t>Security (3.2.4)</t>
  </si>
  <si>
    <t>TC_LG_014</t>
  </si>
  <si>
    <t>SC_NC_01</t>
  </si>
  <si>
    <t>Create a customer with valid data and verify the generated ID</t>
  </si>
  <si>
    <t>3.1.2</t>
  </si>
  <si>
    <t>TC_NC_001, TC_NC_004 - TC_NC_005</t>
  </si>
  <si>
    <t>SC_NC_02</t>
  </si>
  <si>
    <t>Form structure and Reset button</t>
  </si>
  <si>
    <t>TC_NC_002 - TC_NC_003</t>
  </si>
  <si>
    <t>SC_NC_03</t>
  </si>
  <si>
    <t>Customer Name validations</t>
  </si>
  <si>
    <t>NC1–NC4</t>
  </si>
  <si>
    <t>TC_NC_006 - TC_NC_011</t>
  </si>
  <si>
    <t>SC_NC_04</t>
  </si>
  <si>
    <t>Gender validations</t>
  </si>
  <si>
    <t>NC20</t>
  </si>
  <si>
    <t>TC_NC_012 - TC_NC_013</t>
  </si>
  <si>
    <t>SC_NC_05</t>
  </si>
  <si>
    <t>Date of Birth validations (including the age boundary)</t>
  </si>
  <si>
    <t>NC18, NC19</t>
  </si>
  <si>
    <t>TC_NC_014 - TC_NC_019</t>
  </si>
  <si>
    <t>SC_NC_06</t>
  </si>
  <si>
    <t>Address, City and State validations</t>
  </si>
  <si>
    <t>NC5–NC9</t>
  </si>
  <si>
    <t>TC_NC_020 - TC_NC_029</t>
  </si>
  <si>
    <t>SC_NC_07</t>
  </si>
  <si>
    <t>PIN Code validations</t>
  </si>
  <si>
    <t>NC10–NC12</t>
  </si>
  <si>
    <t>TC_NC_030 - TC_NC_033</t>
  </si>
  <si>
    <t>SC_NC_08</t>
  </si>
  <si>
    <t>Mobile Number validations</t>
  </si>
  <si>
    <t>NC13, NC14, E59</t>
  </si>
  <si>
    <t>TC_NC_034 - TC_NC_037</t>
  </si>
  <si>
    <t>SC_NC_09</t>
  </si>
  <si>
    <t>Email validations (format and uniqueness)</t>
  </si>
  <si>
    <t>NC15–NC17</t>
  </si>
  <si>
    <t>TC_NC_038 - TC_NC_042</t>
  </si>
  <si>
    <t>SC_NC_10</t>
  </si>
  <si>
    <t>Password validations</t>
  </si>
  <si>
    <t>TC_NC_043 - TC_NC_047</t>
  </si>
  <si>
    <t>SC_NC_11</t>
  </si>
  <si>
    <t>Combined validations and security inputs</t>
  </si>
  <si>
    <t>General</t>
  </si>
  <si>
    <t>TC_NC_048 - TC_NC_052</t>
  </si>
  <si>
    <t>SC_EC_01</t>
  </si>
  <si>
    <t>Retrieve a customer by Customer ID</t>
  </si>
  <si>
    <t>3.1.3</t>
  </si>
  <si>
    <t>TC_EC_001</t>
  </si>
  <si>
    <t>SC_EC_02</t>
  </si>
  <si>
    <t>Editable and non-editable fields</t>
  </si>
  <si>
    <t>TC_EC_002 - TC_EC_003</t>
  </si>
  <si>
    <t>SC_EC_03</t>
  </si>
  <si>
    <t>Customer ID validations</t>
  </si>
  <si>
    <t>EC1–EC3</t>
  </si>
  <si>
    <t>TC_EC_004 - TC_EC_007, TC_EC_009</t>
  </si>
  <si>
    <t>SC_EC_04</t>
  </si>
  <si>
    <t>Customer of another Manager</t>
  </si>
  <si>
    <t>EC4</t>
  </si>
  <si>
    <t>TC_EC_008</t>
  </si>
  <si>
    <t>SC_EC_05</t>
  </si>
  <si>
    <t>Update customer data with valid values</t>
  </si>
  <si>
    <t>TC_EC_010 - TC_EC_013</t>
  </si>
  <si>
    <t>SC_EC_06</t>
  </si>
  <si>
    <t>EC6</t>
  </si>
  <si>
    <t>TC_EC_014 - TC_EC_022</t>
  </si>
  <si>
    <t>SC_EC_07</t>
  </si>
  <si>
    <t>TC_EC_023 - TC_EC_026</t>
  </si>
  <si>
    <t>SC_EC_08</t>
  </si>
  <si>
    <t>TC_EC_027 - TC_EC_030</t>
  </si>
  <si>
    <t>SC_EC_09</t>
  </si>
  <si>
    <t>Email validations and uniqueness</t>
  </si>
  <si>
    <t>EC5, EC6</t>
  </si>
  <si>
    <t>TC_EC_031 - TC_EC_037</t>
  </si>
  <si>
    <t>SC_EC_10</t>
  </si>
  <si>
    <t>Multiple invalid fields and data integrity after a rejected update</t>
  </si>
  <si>
    <t>TC_EC_038 - TC_EC_039</t>
  </si>
  <si>
    <t>SC_EC_11</t>
  </si>
  <si>
    <t>Security input (XSS)</t>
  </si>
  <si>
    <t>TC_EC_040</t>
  </si>
  <si>
    <t>SC_DC_01</t>
  </si>
  <si>
    <t>Delete a customer without accounts</t>
  </si>
  <si>
    <t>3.1.4</t>
  </si>
  <si>
    <t>TC_DC_001, TC_DC_004 - TC_DC_005</t>
  </si>
  <si>
    <t>SC_DC_02</t>
  </si>
  <si>
    <t>Confirmation dialog before deletion</t>
  </si>
  <si>
    <t>TC_DC_002 - TC_DC_003</t>
  </si>
  <si>
    <t>SC_DC_03</t>
  </si>
  <si>
    <t>DC1–DC3</t>
  </si>
  <si>
    <t>TC_DC_006 - TC_DC_009</t>
  </si>
  <si>
    <t>SC_DC_04</t>
  </si>
  <si>
    <t>Customer with active accounts</t>
  </si>
  <si>
    <t>DC4</t>
  </si>
  <si>
    <t>TC_DC_010</t>
  </si>
  <si>
    <t>SC_DC_05</t>
  </si>
  <si>
    <t>DC5</t>
  </si>
  <si>
    <t>TC_DC_011</t>
  </si>
  <si>
    <t>SC_DC_06</t>
  </si>
  <si>
    <t>Reset button and browser refresh</t>
  </si>
  <si>
    <t>TC_DC_012, TC_DC_014</t>
  </si>
  <si>
    <t>SC_DC_07</t>
  </si>
  <si>
    <t>Effects of deleting a customer (email reuse)</t>
  </si>
  <si>
    <t>TC_DC_013</t>
  </si>
  <si>
    <t>SC_NA_01</t>
  </si>
  <si>
    <t>Create accounts with valid data and verify the opening balance</t>
  </si>
  <si>
    <t>3.1.5</t>
  </si>
  <si>
    <t>TC_NA_001 - TC_NA_002, TC_NA_004, TC_NA_006 - TC_NA_007</t>
  </si>
  <si>
    <t>SC_NA_02</t>
  </si>
  <si>
    <t>TC_NA_003, TC_NA_005</t>
  </si>
  <si>
    <t>SC_NA_03</t>
  </si>
  <si>
    <t>NA1–NA3</t>
  </si>
  <si>
    <t>TC_NA_008 - TC_NA_011, TC_NA_013</t>
  </si>
  <si>
    <t>SC_NA_04</t>
  </si>
  <si>
    <t>NA4</t>
  </si>
  <si>
    <t>TC_NA_012</t>
  </si>
  <si>
    <t>SC_NA_05</t>
  </si>
  <si>
    <t>Account Type validation</t>
  </si>
  <si>
    <t>NA5</t>
  </si>
  <si>
    <t>TC_NA_014</t>
  </si>
  <si>
    <t>SC_NA_06</t>
  </si>
  <si>
    <t>Initial Deposit validations (including the minimum 500)</t>
  </si>
  <si>
    <t>NA6–NA8</t>
  </si>
  <si>
    <t>TC_NA_015 - TC_NA_025</t>
  </si>
  <si>
    <t>SC_NA_07</t>
  </si>
  <si>
    <t>TC_NA_026 - TC_NA_029</t>
  </si>
  <si>
    <t>SC_EA_01</t>
  </si>
  <si>
    <t>Retrieve an account by Account Number</t>
  </si>
  <si>
    <t>3.1.6</t>
  </si>
  <si>
    <t>TC_EA_001</t>
  </si>
  <si>
    <t>SC_EA_02</t>
  </si>
  <si>
    <t>TC_EA_002 - TC_EA_003</t>
  </si>
  <si>
    <t>SC_EA_03</t>
  </si>
  <si>
    <t>Change the account type</t>
  </si>
  <si>
    <t>EA5</t>
  </si>
  <si>
    <t>TC_EA_004 - TC_EA_008</t>
  </si>
  <si>
    <t>SC_EA_04</t>
  </si>
  <si>
    <t>Account Number validations</t>
  </si>
  <si>
    <t>EA1–EA3</t>
  </si>
  <si>
    <t>TC_EA_009 - TC_EA_012, TC_EA_014</t>
  </si>
  <si>
    <t>SC_EA_05</t>
  </si>
  <si>
    <t>Account of another Manager</t>
  </si>
  <si>
    <t>EA4</t>
  </si>
  <si>
    <t>TC_EA_013</t>
  </si>
  <si>
    <t>SC_EA_06</t>
  </si>
  <si>
    <t>Security input (SQL injection)</t>
  </si>
  <si>
    <t>TC_EA_015</t>
  </si>
  <si>
    <t>SC_DA_01</t>
  </si>
  <si>
    <t>Delete an account with a zero balance</t>
  </si>
  <si>
    <t>3.1.7</t>
  </si>
  <si>
    <t>TC_DA_001, TC_DA_004 - TC_DA_005</t>
  </si>
  <si>
    <t>SC_DA_02</t>
  </si>
  <si>
    <t>TC_DA_002 - TC_DA_003</t>
  </si>
  <si>
    <t>SC_DA_03</t>
  </si>
  <si>
    <t>DA1–DA3</t>
  </si>
  <si>
    <t>TC_DA_006 - TC_DA_009</t>
  </si>
  <si>
    <t>SC_DA_04</t>
  </si>
  <si>
    <t>DA4</t>
  </si>
  <si>
    <t>TC_DA_010</t>
  </si>
  <si>
    <t>SC_DA_05</t>
  </si>
  <si>
    <t>Balance must be zero before deletion</t>
  </si>
  <si>
    <t>DA5</t>
  </si>
  <si>
    <t>TC_DA_011 - TC_DA_013</t>
  </si>
  <si>
    <t>SC_DP_01</t>
  </si>
  <si>
    <t>Deposit with valid data and verify the balance and statement</t>
  </si>
  <si>
    <t>3.1.8</t>
  </si>
  <si>
    <t>TC_DP_001 - TC_DP_003</t>
  </si>
  <si>
    <t>SC_DP_02</t>
  </si>
  <si>
    <t>TC_DP_004 - TC_DP_005</t>
  </si>
  <si>
    <t>SC_DP_03</t>
  </si>
  <si>
    <t>DP1–DP4</t>
  </si>
  <si>
    <t>TC_DP_006 - TC_DP_009</t>
  </si>
  <si>
    <t>SC_DP_04</t>
  </si>
  <si>
    <t>Amount validations</t>
  </si>
  <si>
    <t>DP5–DP7</t>
  </si>
  <si>
    <t>TC_DP_010 - TC_DP_017</t>
  </si>
  <si>
    <t>SC_DP_05</t>
  </si>
  <si>
    <t>Description validations</t>
  </si>
  <si>
    <t>DP8</t>
  </si>
  <si>
    <t>TC_DP_018 - TC_DP_021</t>
  </si>
  <si>
    <t>SC_DP_06</t>
  </si>
  <si>
    <t>Multiple deposits and data integrity</t>
  </si>
  <si>
    <t>TC_DP_022 - TC_DP_024</t>
  </si>
  <si>
    <t>SC_DP_07</t>
  </si>
  <si>
    <t>TC_DP_025 - TC_DP_027</t>
  </si>
  <si>
    <t>SC_WD_01</t>
  </si>
  <si>
    <t>Withdrawal with valid data and verify the balance and statement</t>
  </si>
  <si>
    <t>3.1.9</t>
  </si>
  <si>
    <t>TC_WD_001 - TC_WD_003</t>
  </si>
  <si>
    <t>SC_WD_02</t>
  </si>
  <si>
    <t>TC_WD_004 - TC_WD_005</t>
  </si>
  <si>
    <t>SC_WD_03</t>
  </si>
  <si>
    <t>Withdrawal amount compared with the balance (boundaries)</t>
  </si>
  <si>
    <t>WD8</t>
  </si>
  <si>
    <t>TC_WD_006 - TC_WD_011</t>
  </si>
  <si>
    <t>SC_WD_04</t>
  </si>
  <si>
    <t>WD1–WD4</t>
  </si>
  <si>
    <t>TC_WD_012 - TC_WD_015</t>
  </si>
  <si>
    <t>SC_WD_05</t>
  </si>
  <si>
    <t>WD5–WD7</t>
  </si>
  <si>
    <t>TC_WD_016 - TC_WD_022</t>
  </si>
  <si>
    <t>SC_WD_06</t>
  </si>
  <si>
    <t>WD9</t>
  </si>
  <si>
    <t>TC_WD_023 - TC_WD_025</t>
  </si>
  <si>
    <t>SC_WD_07</t>
  </si>
  <si>
    <t>Consecutive withdrawals, double submission and security inputs</t>
  </si>
  <si>
    <t>TC_WD_026 - TC_WD_029</t>
  </si>
  <si>
    <t>SC_FT_01</t>
  </si>
  <si>
    <t>Valid transfer between two accounts and verify balances and statements</t>
  </si>
  <si>
    <t>3.1.10</t>
  </si>
  <si>
    <t>TC_FT_001 - TC_FT_005</t>
  </si>
  <si>
    <t>SC_FT_02</t>
  </si>
  <si>
    <t>Insufficient balance and same payer and payee</t>
  </si>
  <si>
    <t>FT7, FT10</t>
  </si>
  <si>
    <t>TC_FT_006 - TC_FT_007</t>
  </si>
  <si>
    <t>SC_FT_03</t>
  </si>
  <si>
    <t>Payer and Payee Account validations</t>
  </si>
  <si>
    <t>FT1–FT6</t>
  </si>
  <si>
    <t>TC_FT_008 - TC_FT_014</t>
  </si>
  <si>
    <t>SC_FT_04</t>
  </si>
  <si>
    <t>FT8, FT9</t>
  </si>
  <si>
    <t>TC_FT_015 - TC_FT_020</t>
  </si>
  <si>
    <t>SC_FT_05</t>
  </si>
  <si>
    <t>FT11</t>
  </si>
  <si>
    <t>TC_FT_021 - TC_FT_022</t>
  </si>
  <si>
    <t>SC_FT_06</t>
  </si>
  <si>
    <t>Accounts of another Manager</t>
  </si>
  <si>
    <t>FT13</t>
  </si>
  <si>
    <t>TC_FT_023 - TC_FT_024</t>
  </si>
  <si>
    <t>SC_FT_07</t>
  </si>
  <si>
    <t>Special account states (zero balance, deleted payee)</t>
  </si>
  <si>
    <t>TC_FT_025 - TC_FT_026</t>
  </si>
  <si>
    <t>SC_FT_08</t>
  </si>
  <si>
    <t>TC_FT_027 - TC_FT_028</t>
  </si>
  <si>
    <t>SC_FT_09</t>
  </si>
  <si>
    <t>Double submission and security inputs</t>
  </si>
  <si>
    <t>TC_FT_029 - TC_FT_031</t>
  </si>
  <si>
    <t>SC_BE_01</t>
  </si>
  <si>
    <t>View the balance of an account</t>
  </si>
  <si>
    <t>3.1.11</t>
  </si>
  <si>
    <t>TC_BE_001 - TC_BE_003</t>
  </si>
  <si>
    <t>SC_BE_02</t>
  </si>
  <si>
    <t>Balance after a deposit, a withdrawal and a transfer</t>
  </si>
  <si>
    <t>TC_BE_004 - TC_BE_006</t>
  </si>
  <si>
    <t>SC_BE_03</t>
  </si>
  <si>
    <t>Balance display format</t>
  </si>
  <si>
    <t>TC_BE_007</t>
  </si>
  <si>
    <t>SC_BE_04</t>
  </si>
  <si>
    <t>BE1–BE3</t>
  </si>
  <si>
    <t>TC_BE_008 - TC_BE_011</t>
  </si>
  <si>
    <t>SC_BE_05</t>
  </si>
  <si>
    <t>Access to accounts of other users</t>
  </si>
  <si>
    <t>BE4, BE5</t>
  </si>
  <si>
    <t>TC_BE_012 - TC_BE_013</t>
  </si>
  <si>
    <t>SC_BE_06</t>
  </si>
  <si>
    <t>Read-only behavior and security input</t>
  </si>
  <si>
    <t>TC_BE_014 - TC_BE_015</t>
  </si>
  <si>
    <t>SC_MS_01</t>
  </si>
  <si>
    <t>Number of transactions shown (more than 5, exactly 5, fewer, none)</t>
  </si>
  <si>
    <t>3.1.12, MS4</t>
  </si>
  <si>
    <t>TC_MS_001, TC_MS_003 - TC_MS_005</t>
  </si>
  <si>
    <t>SC_MS_02</t>
  </si>
  <si>
    <t>Statement content, columns and order</t>
  </si>
  <si>
    <t>3.1.12</t>
  </si>
  <si>
    <t>TC_MS_002, TC_MS_006 - TC_MS_010, TC_MS_014</t>
  </si>
  <si>
    <t>SC_MS_03</t>
  </si>
  <si>
    <t>New, transfer and failed transactions in the statement</t>
  </si>
  <si>
    <t>TC_MS_011 - TC_MS_013</t>
  </si>
  <si>
    <t>SC_MS_04</t>
  </si>
  <si>
    <t>MS1–MS3</t>
  </si>
  <si>
    <t>TC_MS_015 - TC_MS_018</t>
  </si>
  <si>
    <t>SC_MS_05</t>
  </si>
  <si>
    <t>MS5, MS6</t>
  </si>
  <si>
    <t>TC_MS_019</t>
  </si>
  <si>
    <t>SC_MS_06</t>
  </si>
  <si>
    <t>TC_MS_020</t>
  </si>
  <si>
    <t>SC_CS_01</t>
  </si>
  <si>
    <t>Statement for a valid date range</t>
  </si>
  <si>
    <t>3.1.13</t>
  </si>
  <si>
    <t>TC_CS_001 - TC_CS_004</t>
  </si>
  <si>
    <t>SC_CS_02</t>
  </si>
  <si>
    <t>Date validations</t>
  </si>
  <si>
    <t>CS4–CS6</t>
  </si>
  <si>
    <t>TC_CS_005 - TC_CS_010</t>
  </si>
  <si>
    <t>SC_CS_03</t>
  </si>
  <si>
    <t>Minimum Transaction Value and Number of Transactions filters</t>
  </si>
  <si>
    <t>TC_CS_011 - TC_CS_014</t>
  </si>
  <si>
    <t>SC_CS_04</t>
  </si>
  <si>
    <t>Filter validations</t>
  </si>
  <si>
    <t>CS7, CS8</t>
  </si>
  <si>
    <t>TC_CS_015 - TC_CS_020</t>
  </si>
  <si>
    <t>SC_CS_05</t>
  </si>
  <si>
    <t>CS1–CS3</t>
  </si>
  <si>
    <t>TC_CS_021 - TC_CS_023</t>
  </si>
  <si>
    <t>SC_CS_06</t>
  </si>
  <si>
    <t>CS9, CS10</t>
  </si>
  <si>
    <t>TC_CS_024</t>
  </si>
  <si>
    <t>SC_CS_07</t>
  </si>
  <si>
    <t>Statement columns, Reset button and form structure</t>
  </si>
  <si>
    <t>TC_CS_025 - TC_CS_027</t>
  </si>
  <si>
    <t>SC_CP_01</t>
  </si>
  <si>
    <t>Change the password with valid data and log in again</t>
  </si>
  <si>
    <t>3.1.14</t>
  </si>
  <si>
    <t>TC_CP_001 - TC_CP_003</t>
  </si>
  <si>
    <t>SC_CP_02</t>
  </si>
  <si>
    <t>Required-field validations</t>
  </si>
  <si>
    <t>CP1, CP3, CP5</t>
  </si>
  <si>
    <t>TC_CP_004 - TC_CP_007</t>
  </si>
  <si>
    <t>SC_CP_03</t>
  </si>
  <si>
    <t>Old Password validation</t>
  </si>
  <si>
    <t>CP2</t>
  </si>
  <si>
    <t>TC_CP_008 - TC_CP_009</t>
  </si>
  <si>
    <t>SC_CP_04</t>
  </si>
  <si>
    <t>New Password rules (length and characters)</t>
  </si>
  <si>
    <t>CP4</t>
  </si>
  <si>
    <t>TC_CP_010 - TC_CP_011, TC_CP_014 - TC_CP_017</t>
  </si>
  <si>
    <t>SC_CP_05</t>
  </si>
  <si>
    <t>New Password and Confirm Password mismatch</t>
  </si>
  <si>
    <t>CP6</t>
  </si>
  <si>
    <t>TC_CP_012 - TC_CP_013</t>
  </si>
  <si>
    <t>SC_CP_06</t>
  </si>
  <si>
    <t>Form structure, password masking and Reset button</t>
  </si>
  <si>
    <t>TC_CP_018 - TC_CP_020</t>
  </si>
  <si>
    <t>SC_CP_07</t>
  </si>
  <si>
    <t>Behavior after a failed change and the session</t>
  </si>
  <si>
    <t>TC_CP_021 - TC_CP_022</t>
  </si>
  <si>
    <t>SC_CP_08</t>
  </si>
  <si>
    <t>TC_CP_023</t>
  </si>
  <si>
    <t>ID</t>
  </si>
  <si>
    <t>Title</t>
  </si>
  <si>
    <t>Description</t>
  </si>
  <si>
    <t>Pre-Condition</t>
  </si>
  <si>
    <t>Test steps</t>
  </si>
  <si>
    <t>Priority</t>
  </si>
  <si>
    <t>Expected Result</t>
  </si>
  <si>
    <t>Actual result</t>
  </si>
  <si>
    <t>Status</t>
  </si>
  <si>
    <t>Designer</t>
  </si>
  <si>
    <t>Executer</t>
  </si>
  <si>
    <t>Verify that a Manager can log in with valid credentials</t>
  </si>
  <si>
    <t>Manager account exists and is active; Login page is open in Chrome</t>
  </si>
  <si>
    <t>1. Enter User ID
2. Enter Password
3. Click Submit</t>
  </si>
  <si>
    <t>User ID: mngr668217
Password: rUqyzUv</t>
  </si>
  <si>
    <t>High</t>
  </si>
  <si>
    <t>User is redirected to the Manager Dashboard, and all Manager modules are displayed</t>
  </si>
  <si>
    <t>The manager was redirected to the Manager dashboard.</t>
  </si>
  <si>
    <t>Pass</t>
  </si>
  <si>
    <t>Amjad</t>
  </si>
  <si>
    <t>TC_LG_002</t>
  </si>
  <si>
    <t>Empty User ID</t>
  </si>
  <si>
    <t>Verify that login is blocked when User ID is empty</t>
  </si>
  <si>
    <t>Login page is open</t>
  </si>
  <si>
    <t>1. Leave User ID empty
2. Enter Password
3. Click Submit</t>
  </si>
  <si>
    <t>User ID:
Password: rUqyzUv</t>
  </si>
  <si>
    <t>E1: "User ID must not be blank" is displayed; login is not allowed</t>
  </si>
  <si>
    <t>The error message "User ID must not be blank" was displayed.</t>
  </si>
  <si>
    <t>TC_LG_003</t>
  </si>
  <si>
    <t>Empty Password</t>
  </si>
  <si>
    <t>Verify that login is blocked when Password is empty</t>
  </si>
  <si>
    <t>1. Enter User ID
2. Leave Password empty
3. Click Submit</t>
  </si>
  <si>
    <t>User ID: mngr668217
Password:</t>
  </si>
  <si>
    <t>E2: "Password must not be blank" is displayed; login is not allowed</t>
  </si>
  <si>
    <t>The error message "Password must not be blank" was displayed.</t>
  </si>
  <si>
    <t>TC_LG_004</t>
  </si>
  <si>
    <t>Both fields empty</t>
  </si>
  <si>
    <t>Verify validation messages when both fields are empty</t>
  </si>
  <si>
    <t>1. Leave both fields empty
2. Click Submit</t>
  </si>
  <si>
    <t>User ID:
Password:</t>
  </si>
  <si>
    <t>E1 and E2 are displayed; login is not allowed</t>
  </si>
  <si>
    <t>The error messages "User ID must not be blank" and "Password must not be blank" were displayed.</t>
  </si>
  <si>
    <t>TC_LG_005</t>
  </si>
  <si>
    <t>Non-existent User ID</t>
  </si>
  <si>
    <t>Verify that an unregistered User ID is rejected</t>
  </si>
  <si>
    <t>Login page is open; the User ID does not exist in the system</t>
  </si>
  <si>
    <t>1. Enter an unregistered User ID
2. Enter any Password
3. Click Submit</t>
  </si>
  <si>
    <t>User ID: ghost999
Password: Pass@123</t>
  </si>
  <si>
    <t>E3: "User ID and Password do not match" is displayed</t>
  </si>
  <si>
    <t>The alert "User is not valid" was displayed instead of the message required by the SRS (E3: "User ID and Password do not match"). The login was rejected.</t>
  </si>
  <si>
    <t>Fail</t>
  </si>
  <si>
    <t>TC_LG_006</t>
  </si>
  <si>
    <t>Incorrect Password</t>
  </si>
  <si>
    <t>Verify that a valid User ID with a wrong Password is rejected</t>
  </si>
  <si>
    <t>Manager account exists and is active</t>
  </si>
  <si>
    <t>1. Enter a valid User ID
2. Enter an incorrect Password
3. Click Submit</t>
  </si>
  <si>
    <t>User ID: mngr668217
Password: wrongpas</t>
  </si>
  <si>
    <t>E3 is displayed; login is not allowed</t>
  </si>
  <si>
    <t>TC_LG_007</t>
  </si>
  <si>
    <t>Case sensitivity: User ID</t>
  </si>
  <si>
    <t>Verify that the User ID is case-sensitive</t>
  </si>
  <si>
    <t>Manager account "mngr668217" exists</t>
  </si>
  <si>
    <t>1. Enter the User ID in uppercase
2. Enter the correct Password
3. Click Submit</t>
  </si>
  <si>
    <t>User ID: MNGR668217
Password: rUqyzUv</t>
  </si>
  <si>
    <t>Medium</t>
  </si>
  <si>
    <t>E3 is displayed (login rejected)</t>
  </si>
  <si>
    <t>The system accepted the User ID in uppercase and redirected the manager to the dashboard (the User ID is not case-sensitive).</t>
  </si>
  <si>
    <t>TC_LG_008</t>
  </si>
  <si>
    <t>Case sensitivity: Password</t>
  </si>
  <si>
    <t>Verify that the Password is case-sensitive</t>
  </si>
  <si>
    <t>Manager account "mngr668217" exists with password "rUqyzUv"</t>
  </si>
  <si>
    <t>1. Enter the correct User ID
2. Enter the Password with different casing
3. Click Submit</t>
  </si>
  <si>
    <t>User ID: mngr668217
Password: RUQYZUV</t>
  </si>
  <si>
    <t>The system accepted the Password with different letter casing and redirected the manager to the dashboard (the Password is not case-sensitive).</t>
  </si>
  <si>
    <t>Lockout after 3 failed attempts</t>
  </si>
  <si>
    <t>Verify that the account is locked after 3 consecutive failed login attempts</t>
  </si>
  <si>
    <t>Manager account is active and not locked; failed-attempt counter is 0</t>
  </si>
  <si>
    <t>1. Enter valid User ID and wrong Password, click Submit
2. Repeat step 1 (2nd attempt)
3. Repeat step 1 (3rd attempt)</t>
  </si>
  <si>
    <t>User ID: mngr668217
Password: wrongpas (wrong password, 3 consecutive attempts)</t>
  </si>
  <si>
    <t>Attempts 1 and 2: E3 is displayed.
Attempt 3: the account is locked and E55 is displayed (SRS is unclear about the 3rd-attempt message)</t>
  </si>
  <si>
    <t>The account was not locked after the 3 failed attempts and no error message was displayed.</t>
  </si>
  <si>
    <t>Locked account with valid credentials</t>
  </si>
  <si>
    <t>Verify that a locked account cannot log in even with correct credentials</t>
  </si>
  <si>
    <t>Account is locked (after TC_LG_009)</t>
  </si>
  <si>
    <t>1. Enter valid User ID
2. Enter correct Password
3. Click Submit</t>
  </si>
  <si>
    <t>User ID: mngr668217
Password: rUqyzUv (valid password)</t>
  </si>
  <si>
    <t>Login is rejected with the lockout message (E55)</t>
  </si>
  <si>
    <t>The account was not locked, so the lockout message (E55) was not displayed.</t>
  </si>
  <si>
    <t>Reset button</t>
  </si>
  <si>
    <t>Verify that the Reset button clears the form</t>
  </si>
  <si>
    <t>1. Enter data in both fields
2. Click Reset</t>
  </si>
  <si>
    <t>Both fields are cleared, and no error messages are displayed</t>
  </si>
  <si>
    <t>Both fields were cleared and no error message was displayed.</t>
  </si>
  <si>
    <t>TC_LG_012</t>
  </si>
  <si>
    <t>Password masking</t>
  </si>
  <si>
    <t>Verify that the Password field masks the input</t>
  </si>
  <si>
    <t>1. Type in the Password field</t>
  </si>
  <si>
    <t>Password: rUqyzUv</t>
  </si>
  <si>
    <t>Characters are displayed as dots/asterisks</t>
  </si>
  <si>
    <t>The characters were displayed as dots.</t>
  </si>
  <si>
    <t>TC_LG_013</t>
  </si>
  <si>
    <t>Maximum length of 30 characters</t>
  </si>
  <si>
    <t>Verify the 30-character limit on User ID and Password</t>
  </si>
  <si>
    <t>1. Enter 30 characters in User ID and Password
2. Enter 31 characters in both fields</t>
  </si>
  <si>
    <t>User ID: AbcdefghijAbcdefghijAbcdefghij (30 characters), then AbcdefghijAbcdefghijAbcdefghijk (31 characters)
Password: AbcdefghijAbcdefghijAbcdefghij (30 characters), then AbcdefghijAbcdefghijAbcdefghijk (31 characters)</t>
  </si>
  <si>
    <t>30 characters are accepted as the maximum; the 31st character is rejected or truncated</t>
  </si>
  <si>
    <t>The User ID field accepts a maximum of 10 characters and the Password field has no maximum length limit.</t>
  </si>
  <si>
    <t>Basic SQL injection</t>
  </si>
  <si>
    <t>Verify that the login form is not vulnerable to basic SQL injection</t>
  </si>
  <si>
    <t>1. Enter ' OR '1'='1 in User ID
2. Enter any Password
3. Click Submit</t>
  </si>
  <si>
    <t>User ID: ' OR '1'='1
Password: x</t>
  </si>
  <si>
    <t>Login is rejected (E3); no access is granted and no database error is displayed</t>
  </si>
  <si>
    <t>The system accepted the login and redirected the manager to the dashboard.</t>
  </si>
  <si>
    <t>TC_LG_015</t>
  </si>
  <si>
    <t>Space inside User ID</t>
  </si>
  <si>
    <t>Verify how the system handles a space inside the User ID</t>
  </si>
  <si>
    <t>1. Enter a User ID that contains a space
2. Enter the correct Password
3. Click Submit</t>
  </si>
  <si>
    <t>User ID: mngr 668217 (space inside)
Password: rUqyzUv</t>
  </si>
  <si>
    <t>Low</t>
  </si>
  <si>
    <t>Behavior is consistent (rejected or trimmed); document the actual behavior</t>
  </si>
  <si>
    <t>The login was rejected.</t>
  </si>
  <si>
    <t>TC_LG_016</t>
  </si>
  <si>
    <t>Logout</t>
  </si>
  <si>
    <t>Verify that Logout ends the session</t>
  </si>
  <si>
    <t>User is logged in</t>
  </si>
  <si>
    <t>1. Click Logout</t>
  </si>
  <si>
    <t>User ID: mngr668217</t>
  </si>
  <si>
    <t>User is returned to the Login page, and the session is terminated</t>
  </si>
  <si>
    <t>The user was returned to the Login page and the session was terminated.</t>
  </si>
  <si>
    <t>TC_LG_017</t>
  </si>
  <si>
    <t>Browser Back button after Logout</t>
  </si>
  <si>
    <t>Verify that a protected page cannot be accessed via Back after Logout</t>
  </si>
  <si>
    <t>User has just logged out</t>
  </si>
  <si>
    <t>1. Click the browser's Back button</t>
  </si>
  <si>
    <t>–</t>
  </si>
  <si>
    <t>User cannot return to a protected page without logging in</t>
  </si>
  <si>
    <t>The session was not terminated: after pressing the Back button, the manager could return to the dashboard.</t>
  </si>
  <si>
    <t>Access without login</t>
  </si>
  <si>
    <t>Verify that protected pages require authentication</t>
  </si>
  <si>
    <t>User is not logged in; a valid internal page URL is available</t>
  </si>
  <si>
    <t>1. Open an internal page URL directly in the browser</t>
  </si>
  <si>
    <t>Direct URL of an internal page</t>
  </si>
  <si>
    <t>User is redirected to the Login page</t>
  </si>
  <si>
    <t>The system opened the protected page directly without any authentication.</t>
  </si>
  <si>
    <t>TC_NC_001</t>
  </si>
  <si>
    <t>Create customer with valid data</t>
  </si>
  <si>
    <t>Verify a customer is created with all valid fields</t>
  </si>
  <si>
    <t>1. Logged in as Manager
2. New Customer page is open</t>
  </si>
  <si>
    <t>1. Enter the values from Test data
2. Click Submit</t>
  </si>
  <si>
    <t>Customer Name: John Smith
Gender: Male
Date of Birth: 1990-05-15
Address: 12 Main Street
City: Alexandria
State: Alexandria
PIN Code: 123456
Mobile Number: 5551234567
Email: john.smith01@test.com
Password: Pass@123</t>
  </si>
  <si>
    <t>Customer is created; a unique Customer ID is generated and a confirmation is displayed</t>
  </si>
  <si>
    <t>The customer was created successfully. Generated Customer ID: 4073.</t>
  </si>
  <si>
    <t>TC_NC_002</t>
  </si>
  <si>
    <t>Form fields and buttons</t>
  </si>
  <si>
    <t>Verify all fields in SRS 3.1.2 exist</t>
  </si>
  <si>
    <t>1. Open the New Customer page
2. Review the form</t>
  </si>
  <si>
    <t>Customer Name, Gender (Male/Female radio), Date of Birth (date picker), Address (textarea), City, State, PIN Code, Mobile Number, Email, Password, Submit and Reset are present</t>
  </si>
  <si>
    <t>TC_NC_003</t>
  </si>
  <si>
    <t>Verify Reset clears the form</t>
  </si>
  <si>
    <t>1. Enter the values from Test data
2. Click Reset</t>
  </si>
  <si>
    <t>Customer Name: John Smith
Gender: Male
Date of Birth: 1990-05-15
Address: 12 Main Street
City: Alexandria
State: Alexandria
PIN Code: 123456
Mobile Number: 5551234567
Email: john.smith03@test.com
Password: Pass@123</t>
  </si>
  <si>
    <t>All fields are cleared, Gender is deselected, and no error is displayed</t>
  </si>
  <si>
    <t>TC_NC_004</t>
  </si>
  <si>
    <t>Unique Customer ID</t>
  </si>
  <si>
    <t>Verify each new customer gets a different ID</t>
  </si>
  <si>
    <t>1. Create customer A using the Customer A values
2. Create customer B using the Customer B values</t>
  </si>
  <si>
    <t>Customer Name: John Smith
Gender: Male
Date of Birth: 1990-05-15
Address: 12 Main Street
City: Alexandria
State: Alexandria
PIN Code: 123456
Mobile Number: 5551234567
Email: Customer A: john.smith04a@test.com
Customer B: john.smith04b@test.com ◄
Password: Pass@123</t>
  </si>
  <si>
    <t>Two different Customer IDs are generated</t>
  </si>
  <si>
    <t>Both customers were created successfully. Generated Customer IDs: 4620 (customer A) and 78692 (customer B).</t>
  </si>
  <si>
    <t>TC_NC_005</t>
  </si>
  <si>
    <t>Created customer data is saved correctly</t>
  </si>
  <si>
    <t>Verify saved details via Edit Customer</t>
  </si>
  <si>
    <t>1. Logged in as Manager
2. Customer created in TC_NC_001 (Customer ID 4073)</t>
  </si>
  <si>
    <t>1. Open the Edit Customer page
2. Enter the generated Customer ID
3. Submit</t>
  </si>
  <si>
    <t>Customer ID: 4073
Values to compare (from TC_NC_001):
Customer Name: John Smith
Gender: Male
Date of Birth: 1990-05-15
Address: 12 Main Street
City: Alexandria
State: Alexandria
PIN Code: 123456
Mobile Number: 5551234567
Email: john.smith01@test.com
Password: Pass@123</t>
  </si>
  <si>
    <t>All entered details (name, gender, DOB, address, city, state, PIN, mobile, email) match what was entered</t>
  </si>
  <si>
    <t>TC_NC_006</t>
  </si>
  <si>
    <t>Name: blank (NC1)</t>
  </si>
  <si>
    <t>Verify blank name is rejected</t>
  </si>
  <si>
    <t>1. Leave Customer Name empty and enter the rest from Test data
2. Click Submit</t>
  </si>
  <si>
    <t>Customer Name: (empty) ◄
Gender: Male
Date of Birth: 1990-05-15
Address: 12 Main Street
City: Alexandria
State: Alexandria
PIN Code: 123456
Mobile Number: 5551234567
Email: john.smith06@test.com
Password: Pass@123</t>
  </si>
  <si>
    <t>E4: "Customer Name must not be blank"; no customer created</t>
  </si>
  <si>
    <t>TC_NC_007</t>
  </si>
  <si>
    <t>Name: numbers (NC2)</t>
  </si>
  <si>
    <t>Verify numbers are rejected</t>
  </si>
  <si>
    <t>Customer Name: John123 ◄
Gender: Male
Date of Birth: 1990-05-15
Address: 12 Main Street
City: Alexandria
State: Alexandria
PIN Code: 123456
Mobile Number: 5551234567
Email: john.smith07@test.com
Password: Pass@123</t>
  </si>
  <si>
    <t>E48: "Numbers are not allowed"</t>
  </si>
  <si>
    <t>TC_NC_008</t>
  </si>
  <si>
    <t>Name: special characters (NC3)</t>
  </si>
  <si>
    <t>Verify special characters are rejected</t>
  </si>
  <si>
    <t>Customer Name: John@#$ ◄
Gender: Male
Date of Birth: 1990-05-15
Address: 12 Main Street
City: Alexandria
State: Alexandria
PIN Code: 123456
Mobile Number: 5551234567
Email: john.smith08@test.com
Password: Pass@123</t>
  </si>
  <si>
    <t>E46: "Special characters are not allowed"</t>
  </si>
  <si>
    <t>TC_NC_009</t>
  </si>
  <si>
    <t>Name: leading space (NC4)</t>
  </si>
  <si>
    <t>Verify a leading space is rejected</t>
  </si>
  <si>
    <t>Customer Name: " John" (a space, then John) ◄
Gender: Male
Date of Birth: 1990-05-15
Address: 12 Main Street
City: Alexandria
State: Alexandria
PIN Code: 123456
Mobile Number: 5551234567
Email: john.smith09@test.com
Password: Pass@123</t>
  </si>
  <si>
    <t>E47: "First character cannot be space"</t>
  </si>
  <si>
    <t>TC_NC_010</t>
  </si>
  <si>
    <t>Name: spaces between words</t>
  </si>
  <si>
    <t>Verify a valid multi-word name is accepted</t>
  </si>
  <si>
    <t>Customer Name: Mary Ann Lee ◄
Gender: Male
Date of Birth: 1990-05-15
Address: 12 Main Street
City: Alexandria
State: Alexandria
PIN Code: 123456
Mobile Number: 5551234567
Email: john.smith10@test.com
Password: Pass@123</t>
  </si>
  <si>
    <t>Customer is created successfully</t>
  </si>
  <si>
    <t>TC_NC_011</t>
  </si>
  <si>
    <t>Name: max length 50 (BVA)</t>
  </si>
  <si>
    <t>Verify the 50-character limit</t>
  </si>
  <si>
    <t>1. Enter the values of Attempt 1 from Test data, click Submit
2. Reopen the New Customer page, enter the values of Attempt 2, click Submit</t>
  </si>
  <si>
    <t>Customer Name:
   [Attempt 1] AbcdefghijAbcdefghijAbcdefghijAbcdefghijAbcdefghij (50 letters)
   [Attempt 2] AbcdefghijAbcdefghijAbcdefghijAbcdefghijAbcdefghijk (51 letters) ◄
Gender: Male
Date of Birth: 1990-05-15
Address: 12 Main Street
City: Alexandria
State: Alexandria
PIN Code: 123456
Mobile Number: 5551234567
Email:
   [Attempt 1] john.smith11a@test.com
   [Attempt 2] john.smith11b@test.com
Password: Pass@123</t>
  </si>
  <si>
    <t>50 characters are accepted; the 51st is rejected or truncated</t>
  </si>
  <si>
    <t>The Customer Name field accepts a maximum of 25 characters.</t>
  </si>
  <si>
    <t>TC_NC_012</t>
  </si>
  <si>
    <t>Gender: not selected (NC20)</t>
  </si>
  <si>
    <t>Verify Gender is mandatory</t>
  </si>
  <si>
    <t>1. Leave Gender unselected and enter the rest from Test data
2. Click Submit</t>
  </si>
  <si>
    <t>Customer Name: John Smith
Gender: (none selected) ◄
Date of Birth: 1990-05-15
Address: 12 Main Street
City: Alexandria
State: Alexandria
PIN Code: 123456
Mobile Number: 5551234567
Email: john.smith12@test.com
Password: Pass@123</t>
  </si>
  <si>
    <t>An error is displayed and no customer is created (message not defined in SRS)</t>
  </si>
  <si>
    <t>A gender was selected by default, so the Gender field cannot be left unselected.</t>
  </si>
  <si>
    <t>TC_NC_013</t>
  </si>
  <si>
    <t>Gender: single selection</t>
  </si>
  <si>
    <t>Verify only one option can be selected</t>
  </si>
  <si>
    <t>1. Select Male
2. Select Female</t>
  </si>
  <si>
    <t>Gender: Male, then Female</t>
  </si>
  <si>
    <t>Selecting Female deselects Male</t>
  </si>
  <si>
    <t>TC_NC_014</t>
  </si>
  <si>
    <t>DOB: blank (NC18)</t>
  </si>
  <si>
    <t>Verify blank DOB is rejected</t>
  </si>
  <si>
    <t>1. Leave Date of Birth empty and enter the rest from Test data
2. Click Submit</t>
  </si>
  <si>
    <t>Customer Name: John Smith
Gender: Male
Date of Birth: (empty) ◄
Address: 12 Main Street
City: Alexandria
State: Alexandria
PIN Code: 123456
Mobile Number: 5551234567
Email: john.smith14@test.com
Password: Pass@123</t>
  </si>
  <si>
    <t>E50: "Date of Birth must not be blank"</t>
  </si>
  <si>
    <t>TC_NC_015</t>
  </si>
  <si>
    <t>DOB: age exactly 18 (BVA)</t>
  </si>
  <si>
    <t>Verify a customer who is exactly 18 today is accepted</t>
  </si>
  <si>
    <t>Customer Name: John Smith
Gender: Male
Date of Birth: Execution date − 18 years ◄
Address: 12 Main Street
City: Alexandria
State: Alexandria
PIN Code: 123456
Mobile Number: 5551234567
Email: john.smith15@test.com
Password: Pass@123</t>
  </si>
  <si>
    <t>The customer was created successfully. Generated Customer ID: 4273.</t>
  </si>
  <si>
    <t>TC_NC_016</t>
  </si>
  <si>
    <t>DOB: one day under 18 (BVA)</t>
  </si>
  <si>
    <t>Verify age 17 years 364 days is rejected</t>
  </si>
  <si>
    <t>Customer Name: John Smith
Gender: Male
Date of Birth: (Execution date − 18 years) + 1 day ◄
Address: 12 Main Street
City: Alexandria
State: Alexandria
PIN Code: 123456
Mobile Number: 5551234567
Email: john.smith16@test.com
Password: Pass@123</t>
  </si>
  <si>
    <t>E58: "Age must be 18 years or above"</t>
  </si>
  <si>
    <t>The customer was created successfully (Customer ID 52817) although the customer is under 18; no error message was displayed.</t>
  </si>
  <si>
    <t>TC_NC_017</t>
  </si>
  <si>
    <t>DOB: minor (NC19)</t>
  </si>
  <si>
    <t>Verify a clearly underage customer is rejected</t>
  </si>
  <si>
    <t>Customer Name: John Smith
Gender: Male
Date of Birth: Execution date − 10 years ◄
Address: 12 Main Street
City: Alexandria
State: Alexandria
PIN Code: 123456
Mobile Number: 5551234567
Email: john.smith17@test.com
Password: Pass@123</t>
  </si>
  <si>
    <t>E58 is displayed</t>
  </si>
  <si>
    <t>The customer was created successfully (Customer ID 27595) although the customer is 10 years old; no error message was displayed.</t>
  </si>
  <si>
    <t>TC_NC_018</t>
  </si>
  <si>
    <t>DOB: future date</t>
  </si>
  <si>
    <t>Verify a future date is rejected</t>
  </si>
  <si>
    <t>Customer Name: John Smith
Gender: Male
Date of Birth: tomorrow's date ◄
Address: 12 Main Street
City: Alexandria
State: Alexandria
PIN Code: 123456
Mobile Number: 5551234567
Email: john.smith18@test.com
Password: Pass@123</t>
  </si>
  <si>
    <t>The date is rejected with E57 or E58</t>
  </si>
  <si>
    <t>The customer was created successfully (Customer ID 69229) with a future date of birth; no error message was displayed.</t>
  </si>
  <si>
    <t>TC_NC_019</t>
  </si>
  <si>
    <t>DOB: invalid date</t>
  </si>
  <si>
    <t>Verify invalid dates are rejected</t>
  </si>
  <si>
    <t>1. Enter the values of Attempt 1 from Test data, click Submit
2. Reopen the New Customer page and repeat for each remaining attempt</t>
  </si>
  <si>
    <t>Customer Name: John Smith
Gender: Male
Date of Birth:
   [Attempt 1] 31/02/2000
   [Attempt 2] abc ◄
Address: 12 Main Street
City: Alexandria
State: Alexandria
PIN Code: 123456
Mobile Number: 5551234567
Email: john.smith19@test.com
Password: Pass@123</t>
  </si>
  <si>
    <t>E57: "Invalid date format" for each attempt</t>
  </si>
  <si>
    <t>The test could not be executed: an invalid date cannot be entered in the Date of Birth date-picker field.</t>
  </si>
  <si>
    <t>Blocked</t>
  </si>
  <si>
    <t>TC_NC_020</t>
  </si>
  <si>
    <t>Address: blank (NC5)</t>
  </si>
  <si>
    <t>Verify blank address is rejected</t>
  </si>
  <si>
    <t>1. Leave Address empty and enter the rest from Test data
2. Click Submit</t>
  </si>
  <si>
    <t>Customer Name: John Smith
Gender: Male
Date of Birth: 1990-05-15
Address: (empty) ◄
City: Alexandria
State: Alexandria
PIN Code: 123456
Mobile Number: 5551234567
Email: john.smith20@test.com
Password: Pass@123</t>
  </si>
  <si>
    <t>E5: "Address Field must not be blank"</t>
  </si>
  <si>
    <t>TC_NC_021</t>
  </si>
  <si>
    <t>Address: alphanumeric</t>
  </si>
  <si>
    <t>Verify letters and numbers are accepted</t>
  </si>
  <si>
    <t>Customer Name: John Smith
Gender: Male
Date of Birth: 1990-05-15
Address: 12 Main Street Apt 5 ◄
City: Alexandria
State: Alexandria
PIN Code: 123456
Mobile Number: 5551234567
Email: john.smith21@test.com
Password: Pass@123</t>
  </si>
  <si>
    <t>The customer was created successfully. Generated Customer ID: 63551.</t>
  </si>
  <si>
    <t>TC_NC_022</t>
  </si>
  <si>
    <t>Address: special characters</t>
  </si>
  <si>
    <t>Verify the alphanumeric rule</t>
  </si>
  <si>
    <t>Customer Name: John Smith
Gender: Male
Date of Birth: 1990-05-15
Address: @#$%^&amp; ◄
City: Alexandria
State: Alexandria
PIN Code: 123456
Mobile Number: 5551234567
Email: john.smith22@test.com
Password: Pass@123</t>
  </si>
  <si>
    <t>Address is rejected with an error</t>
  </si>
  <si>
    <t>TC_NC_023</t>
  </si>
  <si>
    <t>Address: max length 200 (BVA)</t>
  </si>
  <si>
    <t>Verify the 200-character limit</t>
  </si>
  <si>
    <t>Customer Name: John Smith
Gender: Male
Date of Birth: 1990-05-15
Address:
   [Attempt 1] Main Street 12 Main Street 12 Main Street 12 Main Street 12 Main Street 12 Main Street 12 Main Street 12 Main Street 12 Main Street 12 Main Street 12 Main Street 12 Main Street 12 Main Street 12 Main (200 characters)
   [Attempt 2] Main Street 12 Main Street 12 Main Street 12 Main Street 12 Main Street 12 Main Street 12 Main Street 12 Main Street 12 Main Street 12 Main Street 12 Main Street 12 Main Street 12 Main Street 12 Main A (201 characters) ◄
City: Alexandria
State: Alexandria
PIN Code: 123456
Mobile Number: 5551234567
Email:
   [Attempt 1] john.smith23a@test.com
   [Attempt 2] john.smith23b@test.com
Password: Pass@123</t>
  </si>
  <si>
    <t>200 characters are accepted; the 201st is rejected or truncated</t>
  </si>
  <si>
    <t>The Address field accepts a maximum of 50 characters.</t>
  </si>
  <si>
    <t>TC_NC_024</t>
  </si>
  <si>
    <t>City: blank (NC6)</t>
  </si>
  <si>
    <t>Verify blank city is rejected</t>
  </si>
  <si>
    <t>1. Leave City empty and enter the rest from Test data
2. Click Submit</t>
  </si>
  <si>
    <t>Customer Name: John Smith
Gender: Male
Date of Birth: 1990-05-15
Address: 12 Main Street
City: (empty) ◄
State: Alexandria
PIN Code: 123456
Mobile Number: 5551234567
Email: john.smith24@test.com
Password: Pass@123</t>
  </si>
  <si>
    <t>E6: "City Field must not be blank"</t>
  </si>
  <si>
    <t>TC_NC_025</t>
  </si>
  <si>
    <t>City: numbers (NC7)</t>
  </si>
  <si>
    <t>Customer Name: John Smith
Gender: Male
Date of Birth: 1990-05-15
Address: 12 Main Street
City: Cairo123 ◄
State: Alexandria
PIN Code: 123456
Mobile Number: 5551234567
Email: john.smith25@test.com
Password: Pass@123</t>
  </si>
  <si>
    <t>TC_NC_026</t>
  </si>
  <si>
    <t>City: special characters</t>
  </si>
  <si>
    <t>Verify the "alphabets only" rule</t>
  </si>
  <si>
    <t>Customer Name: John Smith
Gender: Male
Date of Birth: 1990-05-15
Address: 12 Main Street
City: Cairo@# ◄
State: Alexandria
PIN Code: 123456
Mobile Number: 5551234567
Email: john.smith26@test.com
Password: Pass@123</t>
  </si>
  <si>
    <t>City is rejected with an error</t>
  </si>
  <si>
    <t>The error message "Special characters are not allowed" was displayed.</t>
  </si>
  <si>
    <t>TC_NC_027</t>
  </si>
  <si>
    <t>State: blank (NC8)</t>
  </si>
  <si>
    <t>Verify blank state is rejected</t>
  </si>
  <si>
    <t>1. Leave State empty and enter the rest from Test data
2. Click Submit</t>
  </si>
  <si>
    <t>Customer Name: John Smith
Gender: Male
Date of Birth: 1990-05-15
Address: 12 Main Street
City: Alexandria
State: (empty) ◄
PIN Code: 123456
Mobile Number: 5551234567
Email: john.smith27@test.com
Password: Pass@123</t>
  </si>
  <si>
    <t>E7: "State Field must not be blank"</t>
  </si>
  <si>
    <t>TC_NC_028</t>
  </si>
  <si>
    <t>State: numbers (NC9)</t>
  </si>
  <si>
    <t>Customer Name: John Smith
Gender: Male
Date of Birth: 1990-05-15
Address: 12 Main Street
City: Alexandria
State: Giza12 ◄
PIN Code: 123456
Mobile Number: 5551234567
Email: john.smith28@test.com
Password: Pass@123</t>
  </si>
  <si>
    <t>TC_NC_029</t>
  </si>
  <si>
    <t>City and State: max length 50 (BVA)</t>
  </si>
  <si>
    <t>Customer Name: John Smith
Gender: Male
Date of Birth: 1990-05-15
Address: 12 Main Street
City:
   [Attempt 1] AbcdefghijAbcdefghijAbcdefghijAbcdefghijAbcdefghij (50 letters)
   [Attempt 2] AbcdefghijAbcdefghijAbcdefghijAbcdefghijAbcdefghijk (51 letters) ◄
State:
   [Attempt 1] AbcdefghijAbcdefghijAbcdefghijAbcdefghijAbcdefghij (50 letters)
   [Attempt 2] AbcdefghijAbcdefghijAbcdefghijAbcdefghijAbcdefghijk (51 letters) ◄
PIN Code: 123456
Mobile Number: 5551234567
Email:
   [Attempt 1] john.smith29a@test.com
   [Attempt 2] john.smith29b@test.com
Password: Pass@123</t>
  </si>
  <si>
    <t>The City and State fields accept a maximum of 25 characters.</t>
  </si>
  <si>
    <t>TC_NC_030</t>
  </si>
  <si>
    <t>PIN: blank (NC10)</t>
  </si>
  <si>
    <t>Verify blank PIN is rejected</t>
  </si>
  <si>
    <t>1. Leave PIN Code empty and enter the rest from Test data
2. Click Submit</t>
  </si>
  <si>
    <t>Customer Name: John Smith
Gender: Male
Date of Birth: 1990-05-15
Address: 12 Main Street
City: Alexandria
State: Alexandria
PIN Code: (empty) ◄
Mobile Number: 5551234567
Email: john.smith30@test.com
Password: Pass@123</t>
  </si>
  <si>
    <t>E8: "PIN Code must not be blank"</t>
  </si>
  <si>
    <t>TC_NC_031</t>
  </si>
  <si>
    <t>PIN: non-numeric (NC11)</t>
  </si>
  <si>
    <t>Verify letters and symbols are rejected</t>
  </si>
  <si>
    <t>Customer Name: John Smith
Gender: Male
Date of Birth: 1990-05-15
Address: 12 Main Street
City: Alexandria
State: Alexandria
PIN Code:
   [Attempt 1] 12AB56
   [Attempt 2] 12@#56 ◄
Mobile Number: 5551234567
Email: john.smith31@test.com
Password: Pass@123</t>
  </si>
  <si>
    <t>E9: "PIN Code must be numeric" for each attempt</t>
  </si>
  <si>
    <t>TC_NC_032</t>
  </si>
  <si>
    <t>PIN: 5 digits (NC12, BVA)</t>
  </si>
  <si>
    <t>Verify a short PIN is rejected</t>
  </si>
  <si>
    <t>Customer Name: John Smith
Gender: Male
Date of Birth: 1990-05-15
Address: 12 Main Street
City: Alexandria
State: Alexandria
PIN Code: 12345 ◄
Mobile Number: 5551234567
Email: john.smith32@test.com
Password: Pass@123</t>
  </si>
  <si>
    <t>E10: "PIN Code must have 6 digits"</t>
  </si>
  <si>
    <t>TC_NC_033</t>
  </si>
  <si>
    <t>PIN: 7 digits (BVA)</t>
  </si>
  <si>
    <t>Verify the maximum length of 6</t>
  </si>
  <si>
    <t>Customer Name: John Smith
Gender: Male
Date of Birth: 1990-05-15
Address: 12 Main Street
City: Alexandria
State: Alexandria
PIN Code: 1234567 ◄
Mobile Number: 5551234567
Email: john.smith33@test.com
Password: Pass@123</t>
  </si>
  <si>
    <t>The 7th digit is not accepted, or E10 is displayed</t>
  </si>
  <si>
    <t>The 7th digit was not accepted.</t>
  </si>
  <si>
    <t>TC_NC_034</t>
  </si>
  <si>
    <t>Mobile: blank (NC13)</t>
  </si>
  <si>
    <t>Verify blank mobile is rejected</t>
  </si>
  <si>
    <t>1. Leave Mobile Number empty and enter the rest from Test data
2. Click Submit</t>
  </si>
  <si>
    <t>Customer Name: John Smith
Gender: Male
Date of Birth: 1990-05-15
Address: 12 Main Street
City: Alexandria
State: Alexandria
PIN Code: 123456
Mobile Number: (empty) ◄
Email: john.smith34@test.com
Password: Pass@123</t>
  </si>
  <si>
    <t>E11: "Mobile Number must not be blank"</t>
  </si>
  <si>
    <t>TC_NC_035</t>
  </si>
  <si>
    <t>Mobile: non-numeric (NC14)</t>
  </si>
  <si>
    <t>Customer Name: John Smith
Gender: Male
Date of Birth: 1990-05-15
Address: 12 Main Street
City: Alexandria
State: Alexandria
PIN Code: 123456
Mobile Number:
   [Attempt 1] 55512ABC90
   [Attempt 2] 555123@#90 ◄
Email: john.smith35@test.com
Password: Pass@123</t>
  </si>
  <si>
    <t>E12: "Mobile Number must be numeric" for each attempt</t>
  </si>
  <si>
    <t>TC_NC_036</t>
  </si>
  <si>
    <t>Mobile: 9 digits (BVA)</t>
  </si>
  <si>
    <t>Verify the "exactly 10 digits" rule</t>
  </si>
  <si>
    <t>Customer Name: John Smith
Gender: Male
Date of Birth: 1990-05-15
Address: 12 Main Street
City: Alexandria
State: Alexandria
PIN Code: 123456
Mobile Number: 555123456 ◄
Email: john.smith36@test.com
Password: Pass@123</t>
  </si>
  <si>
    <t>Mobile is rejected with an error (no error code defined in SRS)</t>
  </si>
  <si>
    <t>The customer was created successfully (Customer ID 33471) with a 9-digit mobile number; no error message was displayed.</t>
  </si>
  <si>
    <t>TC_NC_037</t>
  </si>
  <si>
    <t>Mobile: 11 digits (BVA)</t>
  </si>
  <si>
    <t>Verify the maximum length of 10</t>
  </si>
  <si>
    <t>Customer Name: John Smith
Gender: Male
Date of Birth: 1990-05-15
Address: 12 Main Street
City: Alexandria
State: Alexandria
PIN Code: 123456
Mobile Number: 55512345678 ◄
Email: john.smith37@test.com
Password: Pass@123</t>
  </si>
  <si>
    <t>The 11th digit is not accepted, or an error is displayed</t>
  </si>
  <si>
    <t>The customer was created successfully (Customer ID 78251) with an 11-digit mobile number; no error message was displayed.</t>
  </si>
  <si>
    <t>TC_NC_038</t>
  </si>
  <si>
    <t>Email: blank (NC15)</t>
  </si>
  <si>
    <t>Verify blank email is rejected</t>
  </si>
  <si>
    <t>1. Leave Email empty and enter the rest from Test data
2. Click Submit</t>
  </si>
  <si>
    <t>Customer Name: John Smith
Gender: Male
Date of Birth: 1990-05-15
Address: 12 Main Street
City: Alexandria
State: Alexandria
PIN Code: 123456
Mobile Number: 5551234567
Email: (empty) ◄
Password: Pass@123</t>
  </si>
  <si>
    <t>E13: "E-mail field must not be blank"</t>
  </si>
  <si>
    <t>TC_NC_039</t>
  </si>
  <si>
    <t>Email: invalid format (NC16)</t>
  </si>
  <si>
    <t>Verify invalid formats are rejected</t>
  </si>
  <si>
    <t>Customer Name: John Smith
Gender: Male
Date of Birth: 1990-05-15
Address: 12 Main Street
City: Alexandria
State: Alexandria
PIN Code: 123456
Mobile Number: 5551234567
Email:
   [Attempt 1] john.smith
   [Attempt 2] john@
   [Attempt 3] @test.com
   [Attempt 4] john@test
   [Attempt 5] john smith@test.com ◄
Password: Pass@123</t>
  </si>
  <si>
    <t>E14: "E-mail ID is not valid" for each attempt</t>
  </si>
  <si>
    <t>TC_NC_040</t>
  </si>
  <si>
    <t>Email: duplicate (NC17)</t>
  </si>
  <si>
    <t>Verify a registered email is rejected</t>
  </si>
  <si>
    <t>1. Logged in as Manager
2. New Customer page is open
3. A customer with email john.smith01@test.com already exists (created in TC_NC_001)</t>
  </si>
  <si>
    <t>1. Enter the values from Test data (same email as TC_NC_001)
2. Click Submit</t>
  </si>
  <si>
    <t>Customer Name: John Smith
Gender: Male
Date of Birth: 1990-05-15
Address: 12 Main Street
City: Alexandria
State: Alexandria
PIN Code: 123456
Mobile Number: 5551234567
Email: john.smith01@test.com ◄
Password: Pass@123</t>
  </si>
  <si>
    <t>E49: "Customer with this email already exists"; no customer created</t>
  </si>
  <si>
    <t>TC_NC_041</t>
  </si>
  <si>
    <t>Email: duplicate with different case</t>
  </si>
  <si>
    <t>Verify email uniqueness is case-insensitive</t>
  </si>
  <si>
    <t>1. Enter the values from Test data (same email as TC_NC_001 in uppercase)
2. Click Submit</t>
  </si>
  <si>
    <t>Customer Name: John Smith
Gender: Male
Date of Birth: 1990-05-15
Address: 12 Main Street
City: Alexandria
State: Alexandria
PIN Code: 123456
Mobile Number: 5551234567
Email: JOHN.SMITH01@TEST.COM ◄
Password: Pass@123</t>
  </si>
  <si>
    <t>E49 is displayed</t>
  </si>
  <si>
    <t>TC_NC_042</t>
  </si>
  <si>
    <t>Email: max length 50 (BVA)</t>
  </si>
  <si>
    <t>Customer Name: John Smith
Gender: Male
Date of Birth: 1990-05-15
Address: 12 Main Street
City: Alexandria
State: Alexandria
PIN Code: 123456
Mobile Number: 5551234567
Email:
   [Attempt 1] aaaaaaaaaaaaaaaaaaaaaaaaaaaaaaaaaaaaaaaaa@test.com (50 characters)
   [Attempt 2] aaaaaaaaaaaaaaaaaaaaaaaaaaaaaaaaaaaaaaaaaa@test.com (51 characters) ◄
Password: Pass@123</t>
  </si>
  <si>
    <t>The Email field accepts a maximum of 25 characters.</t>
  </si>
  <si>
    <t>TC_NC_043</t>
  </si>
  <si>
    <t>Password: blank</t>
  </si>
  <si>
    <t>Verify the Password is mandatory</t>
  </si>
  <si>
    <t>1. Leave Password empty and enter the rest from Test data
2. Click Submit</t>
  </si>
  <si>
    <t>Customer Name: John Smith
Gender: Male
Date of Birth: 1990-05-15
Address: 12 Main Street
City: Alexandria
State: Alexandria
PIN Code: 123456
Mobile Number: 5551234567
Email: john.smith43@test.com
Password: (empty) ◄</t>
  </si>
  <si>
    <t>An error is displayed and no customer is created</t>
  </si>
  <si>
    <t>TC_NC_044</t>
  </si>
  <si>
    <t>Password: 5 characters (BVA)</t>
  </si>
  <si>
    <t>Verify the 6-character minimum</t>
  </si>
  <si>
    <t>Customer Name: John Smith
Gender: Male
Date of Birth: 1990-05-15
Address: 12 Main Street
City: Alexandria
State: Alexandria
PIN Code: 123456
Mobile Number: 5551234567
Email: john.smith44@test.com
Password: Ab@12 ◄</t>
  </si>
  <si>
    <t>Password is rejected with an error</t>
  </si>
  <si>
    <t>The customer was created successfully (Customer ID 790) with a 5-character password; no error message was displayed.</t>
  </si>
  <si>
    <t>TC_NC_045</t>
  </si>
  <si>
    <t>Password: 6 characters (BVA)</t>
  </si>
  <si>
    <t>Verify the minimum length is accepted</t>
  </si>
  <si>
    <t>Customer Name: John Smith
Gender: Male
Date of Birth: 1990-05-15
Address: 12 Main Street
City: Alexandria
State: Alexandria
PIN Code: 123456
Mobile Number: 5551234567
Email: john.smith45@test.com
Password: Ab@123 ◄</t>
  </si>
  <si>
    <t>TC_NC_046</t>
  </si>
  <si>
    <t>Password: max length 30 (BVA)</t>
  </si>
  <si>
    <t>Verify the 30-character limit</t>
  </si>
  <si>
    <t>Customer Name: John Smith
Gender: Male
Date of Birth: 1990-05-15
Address: 12 Main Street
City: Alexandria
State: Alexandria
PIN Code: 123456
Mobile Number: 5551234567
Email:
   [Attempt 1] john.smith46a@test.com
   [Attempt 2] john.smith46b@test.com
Password:
   [Attempt 1] Ab@123xxxxxxxxxxxxxxxxxxxxxxxx (30 characters)
   [Attempt 2] Ab@123xxxxxxxxxxxxxxxxxxxxxxxxx (31 characters) ◄</t>
  </si>
  <si>
    <t>30 characters are accepted; the 31st is rejected or truncated</t>
  </si>
  <si>
    <t>Both the 30-character and the 31-character passwords were accepted.</t>
  </si>
  <si>
    <t>TC_NC_047</t>
  </si>
  <si>
    <t>Password: masked display</t>
  </si>
  <si>
    <t>Verify the Password input is masked</t>
  </si>
  <si>
    <t>1. Type the Password from Test data in the Password field</t>
  </si>
  <si>
    <t>Password: Pass@123 ◄</t>
  </si>
  <si>
    <t>Characters appear as dots/asterisks</t>
  </si>
  <si>
    <t>TC_NC_048</t>
  </si>
  <si>
    <t>All fields blank</t>
  </si>
  <si>
    <t>Verify all required-field errors</t>
  </si>
  <si>
    <t>1. Leave all fields empty
2. Click Submit</t>
  </si>
  <si>
    <t>Customer Name: (empty) ◄
Gender: (none selected) ◄
Date of Birth: (empty) ◄
Address: (empty) ◄
City: (empty) ◄
State: (empty) ◄
PIN Code: (empty) ◄
Mobile Number: (empty) ◄
Email: (empty) ◄
Password: (empty) ◄</t>
  </si>
  <si>
    <t>Required-field errors are displayed (E4, E5, E6, E7, E8, E11, E13, E50 plus Gender and Password); no customer is created</t>
  </si>
  <si>
    <t>TC_NC_049</t>
  </si>
  <si>
    <t>Multiple invalid fields</t>
  </si>
  <si>
    <t>Verify several errors at once</t>
  </si>
  <si>
    <t>Customer Name: John1 ◄
Gender: Male
Date of Birth: 1990-05-15
Address: 12 Main Street
City: Alexandria
State: Alexandria
PIN Code: 123 ◄
Mobile Number: 5551234567
Email: abc ◄
Password: Pass@123</t>
  </si>
  <si>
    <t>E48, E10 and E14 are displayed; no customer is created</t>
  </si>
  <si>
    <t>TC_NC_050</t>
  </si>
  <si>
    <t>XSS input</t>
  </si>
  <si>
    <t>Verify script input is not executed</t>
  </si>
  <si>
    <t>Customer Name: &lt;script&gt;alert('x')&lt;/script&gt; ◄
Gender: Male
Date of Birth: 1990-05-15
Address: 12 Main Street
City: Alexandria
State: Alexandria
PIN Code: 123456
Mobile Number: 5551234567
Email: john.smith50@test.com
Password: Pass@123</t>
  </si>
  <si>
    <t>Input is rejected (E46) and no script is executed</t>
  </si>
  <si>
    <t>TC_NC_051</t>
  </si>
  <si>
    <t>SQL injection input</t>
  </si>
  <si>
    <t>Verify basic SQL input is handled safely</t>
  </si>
  <si>
    <t>Customer Name: John Smith
Gender: Male
Date of Birth: 1990-05-15
Address: ' OR '1'='1 ◄
City: Alexandria
State: Alexandria
PIN Code: 123456
Mobile Number: 5551234567
Email: john.smith51@test.com
Password: Pass@123</t>
  </si>
  <si>
    <t>Input is rejected or stored safely; no database error is displayed</t>
  </si>
  <si>
    <t>TC_NC_052</t>
  </si>
  <si>
    <t>Double submission</t>
  </si>
  <si>
    <t>Verify no duplicate customer is created</t>
  </si>
  <si>
    <t>1. Enter the values from Test data
2. Double-click Submit quickly</t>
  </si>
  <si>
    <t>Customer Name: John Smith
Gender: Male
Date of Birth: 1990-05-15
Address: 12 Main Street
City: Alexandria
State: Alexandria
PIN Code: 123456
Mobile Number: 5551234567
Email: john.smith52@test.com
Password: Pass@123</t>
  </si>
  <si>
    <t>Only one customer is created; the duplicate attempt is ignored or rejected (E49)</t>
  </si>
  <si>
    <t>Retrieve customer with valid ID</t>
  </si>
  <si>
    <t>Verify customer details are displayed for a valid Customer ID</t>
  </si>
  <si>
    <t>1. Logged in as Manager
2. Customer 4073 exists and is associated with this Manager (created in TC_NC_001 and not yet edited)
3. Edit Customer page is open</t>
  </si>
  <si>
    <t>1. Enter the Customer ID from Test data
2. Click Submit</t>
  </si>
  <si>
    <t>Customer ID: 4073
Values entered in TC_NC_001:
Customer Name: John Smith
Gender: Male
Date of Birth: 1990-05-15
Address: 12 Main Street
City: Alexandria
State: Alexandria
PIN Code: 123456
Mobile Number: 5551234567
Email: john.smith01@test.com</t>
  </si>
  <si>
    <t>Customer details are displayed in an editable form and match the values entered at creation</t>
  </si>
  <si>
    <t>TC_EC_002</t>
  </si>
  <si>
    <t>Non-editable fields are disabled</t>
  </si>
  <si>
    <t>Verify Customer ID, Customer Name, Gender and Date of Birth cannot be edited</t>
  </si>
  <si>
    <t>1. Logged in as Manager
2. Customer 4073 exists and is associated with this Manager (created in TC_NC_001)
3. Edit Customer page is open</t>
  </si>
  <si>
    <t>1. Load customer 4073
2. Try to type in / change Customer ID, Customer Name, Gender and Date of Birth</t>
  </si>
  <si>
    <t>Customer ID: 4073</t>
  </si>
  <si>
    <t>Customer ID, Customer Name, Gender and Date of Birth are disabled and cannot be changed</t>
  </si>
  <si>
    <t>TC_EC_003</t>
  </si>
  <si>
    <t>Editable fields are enabled</t>
  </si>
  <si>
    <t>Verify Address, City, State, PIN, Mobile and Email can be edited</t>
  </si>
  <si>
    <t>1. Load customer 4073
2. Click into each of the six fields and type</t>
  </si>
  <si>
    <t>Address, City, State, PIN Code, Mobile Number and Email accept input</t>
  </si>
  <si>
    <t>TC_EC_004</t>
  </si>
  <si>
    <t>Customer ID: blank (EC1)</t>
  </si>
  <si>
    <t>Verify blank Customer ID is rejected</t>
  </si>
  <si>
    <t>1. Logged in as Manager
2. Edit Customer page is open</t>
  </si>
  <si>
    <t>1. Leave Customer ID empty
2. Click Submit</t>
  </si>
  <si>
    <t>Customer ID: (empty) ◄</t>
  </si>
  <si>
    <t>E15: "Customer ID must not be blank"</t>
  </si>
  <si>
    <t>TC_EC_005</t>
  </si>
  <si>
    <t>Customer ID: non-numeric (EC2)</t>
  </si>
  <si>
    <t>1. Enter the Attempt 1 value, click Submit
2. Repeat for the Attempt 2 value</t>
  </si>
  <si>
    <t>Customer ID:
   [Attempt 1] ABC123
   [Attempt 2] 12@#45 ◄</t>
  </si>
  <si>
    <t>E16: "Customer ID must be numeric" for each attempt</t>
  </si>
  <si>
    <t>TC_EC_006</t>
  </si>
  <si>
    <t>Customer ID: unusual numeric values</t>
  </si>
  <si>
    <t>Verify zero, negative and decimal values are handled</t>
  </si>
  <si>
    <t>1. Enter the Attempt 1 value, click Submit
2. Repeat for each remaining attempt</t>
  </si>
  <si>
    <t>Customer ID:
   [Attempt 1] 0
   [Attempt 2] -5
   [Attempt 3] 12.5 ◄</t>
  </si>
  <si>
    <t>Each value is rejected with E16 or the "Customer ID does not exist" error; no customer is loaded</t>
  </si>
  <si>
    <t>TC_EC_007</t>
  </si>
  <si>
    <t>Customer ID: does not exist (EC3)</t>
  </si>
  <si>
    <t>Verify an unknown Customer ID is rejected</t>
  </si>
  <si>
    <t>1. Enter a non-existent ID
2. Click Submit</t>
  </si>
  <si>
    <t>Customer ID: 999999999 ◄</t>
  </si>
  <si>
    <t>E51: "Customer ID does not exist"</t>
  </si>
  <si>
    <t>Customer of another Manager (EC4)</t>
  </si>
  <si>
    <t>Verify a Manager cannot edit a customer associated with another Manager</t>
  </si>
  <si>
    <t>1. A second Manager account exists
2. Customer 4073 is associated with Manager 1 only
3. Logged in as Manager 2</t>
  </si>
  <si>
    <t>1. Log in as Manager 2
2. Open Edit Customer
3. Enter the Customer ID of customer 4073, click Submit</t>
  </si>
  <si>
    <t>Customer ID: 4073 ◄
Logged in as: Manager 2 (a different Manager)</t>
  </si>
  <si>
    <t>E44 is displayed; the customer details are not loaded</t>
  </si>
  <si>
    <t>TC_EC_009</t>
  </si>
  <si>
    <t>Customer ID: SQL injection</t>
  </si>
  <si>
    <t>1. Enter the value from Test data
2. Click Submit</t>
  </si>
  <si>
    <t>Customer ID: 1 OR 1=1 ◄</t>
  </si>
  <si>
    <t>Input is rejected (E16); no customer data is returned and no database error is displayed</t>
  </si>
  <si>
    <t>TC_EC_010</t>
  </si>
  <si>
    <t>Update all editable fields with valid data</t>
  </si>
  <si>
    <t>Verify all six editable fields can be updated together</t>
  </si>
  <si>
    <t>1. Enter the Customer ID from Test data and click Submit
2. Change the field(s) marked ◄ to the values in Test data
3. Click Submit</t>
  </si>
  <si>
    <t>Customer ID: 4073
Address: 45 Park Avenue ◄
City: Cairo ◄
State: Cairo ◄
PIN Code: 654321 ◄
Mobile Number: 5559876543 ◄
Email: john.edit10@test.com ◄</t>
  </si>
  <si>
    <t>Customer is updated successfully and a confirmation is displayed (message not defined in SRS)</t>
  </si>
  <si>
    <t>The customer data was updated, but no success message was displayed and the system redirected the manager to an empty white page.</t>
  </si>
  <si>
    <t>TC_EC_011</t>
  </si>
  <si>
    <t>Updated data is persisted</t>
  </si>
  <si>
    <t>Verify the update is saved by reloading the customer</t>
  </si>
  <si>
    <t>1. Logged in as Manager
2. Customer 4073 exists and is associated with this Manager (updated in TC_EC_010)
3. Edit Customer page is open</t>
  </si>
  <si>
    <t>1. Enter the Customer ID, click Submit
2. Compare the loaded values with the Test data</t>
  </si>
  <si>
    <t>Customer ID: 4073
Expected values (from TC_EC_010):
Address: 45 Park Avenue
City: Cairo
State: Cairo
PIN Code: 654321
Mobile Number: 5559876543
Email: john.edit10@test.com
Customer Name, Gender and Date of Birth: unchanged (see TC_NC_001)</t>
  </si>
  <si>
    <t>All six fields show the updated values; Name, Gender and DOB are unchanged</t>
  </si>
  <si>
    <t>TC_EC_012</t>
  </si>
  <si>
    <t>Update a single field only</t>
  </si>
  <si>
    <t>Verify updating one field leaves the others unchanged</t>
  </si>
  <si>
    <t>Customer ID: 4073
Address: 78 River Road ◄
City: (leave as loaded)
State: (leave as loaded)
PIN Code: (leave as loaded)
Mobile Number: (leave as loaded)
Email: (leave as loaded)</t>
  </si>
  <si>
    <t>Address is updated; City, State, PIN, Mobile and Email keep their previous values</t>
  </si>
  <si>
    <t>The address was updated and the other fields kept their previous values; no success message was displayed.</t>
  </si>
  <si>
    <t>TC_EC_013</t>
  </si>
  <si>
    <t>Submit without any change</t>
  </si>
  <si>
    <t>Verify submitting an unchanged form is handled gracefully</t>
  </si>
  <si>
    <t>1. Load customer 4073
2. Click Submit without changing anything</t>
  </si>
  <si>
    <t>Customer ID: 4073
Address: (leave as loaded)
City: (leave as loaded)
State: (leave as loaded)
PIN Code: (leave as loaded)
Mobile Number: (leave as loaded)
Email: (leave as loaded)</t>
  </si>
  <si>
    <t>No error occurs and the data remains unchanged (behavior not defined in SRS)</t>
  </si>
  <si>
    <t>No error occurred and the data remained unchanged, but no success message was displayed and the system redirected the manager to an empty white page.</t>
  </si>
  <si>
    <t>TC_EC_014</t>
  </si>
  <si>
    <t>Address: blank</t>
  </si>
  <si>
    <t>Verify blank address is rejected (EC6, NC5)</t>
  </si>
  <si>
    <t>Customer ID: 4073
Address: (empty) ◄
City: (leave as loaded)
State: (leave as loaded)
PIN Code: (leave as loaded)
Mobile Number: (leave as loaded)
Email: (leave as loaded)</t>
  </si>
  <si>
    <t>The address was changed to blank and no error message was displayed.</t>
  </si>
  <si>
    <t>TC_EC_015</t>
  </si>
  <si>
    <t>Verify the alphanumeric rule (EC6)</t>
  </si>
  <si>
    <t>Customer ID: 4073
Address: @#$%^&amp; ◄
City: (leave as loaded)
State: (leave as loaded)
PIN Code: (leave as loaded)
Mobile Number: (leave as loaded)
Email: (leave as loaded)</t>
  </si>
  <si>
    <t>The address was changed to "@#$%^&amp;" and no error message was displayed.</t>
  </si>
  <si>
    <t>TC_EC_016</t>
  </si>
  <si>
    <t>1. Enter the Customer ID, click Submit, enter the Attempt 1 value(s), click Submit
2. Load customer 4073 again and repeat with the Attempt 2 value(s)</t>
  </si>
  <si>
    <t>Customer ID: 4073
Address:
   [Attempt 1] Main Street 12 Main Street 12 Main Street 12 Main Street 12 Main Street 12 Main Street 12 Main Street 12 Main Street 12 Main Street 12 Main Street 12 Main Street 12 Main Street 12 Main Street 12 Main (200 characters)
   [Attempt 2] Main Street 12 Main Street 12 Main Street 12 Main Street 12 Main Street 12 Main Street 12 Main Street 12 Main Street 12 Main Street 12 Main Street 12 Main Street 12 Main Street 12 Main Street 12 Main A (201 characters) ◄
City: (leave as loaded)
State: (leave as loaded)
PIN Code: (leave as loaded)
Mobile Number: (leave as loaded)
Email: (leave as loaded)</t>
  </si>
  <si>
    <t>TC_EC_017</t>
  </si>
  <si>
    <t>City: blank</t>
  </si>
  <si>
    <t>Verify blank city is rejected (EC6, NC6)</t>
  </si>
  <si>
    <t>Customer ID: 4073
Address: (leave as loaded)
City: (empty) ◄
State: (leave as loaded)
PIN Code: (leave as loaded)
Mobile Number: (leave as loaded)
Email: (leave as loaded)</t>
  </si>
  <si>
    <t>The city was changed to blank; no error message was displayed. After clicking Submit, the system redirected the manager to an empty white page.</t>
  </si>
  <si>
    <t>TC_EC_018</t>
  </si>
  <si>
    <t>City: numbers</t>
  </si>
  <si>
    <t>Verify numbers are rejected (EC6, NC7)</t>
  </si>
  <si>
    <t>Customer ID: 4073
Address: (leave as loaded)
City: Cairo123 ◄
State: (leave as loaded)
PIN Code: (leave as loaded)
Mobile Number: (leave as loaded)
Email: (leave as loaded)</t>
  </si>
  <si>
    <t>The city was changed to "Cairo123"; no error message was displayed. After clicking Submit, the system redirected the manager to an empty white page.</t>
  </si>
  <si>
    <t>TC_EC_019</t>
  </si>
  <si>
    <t>Verify the "alphabets only" rule (EC6)</t>
  </si>
  <si>
    <t>Customer ID: 4073
Address: (leave as loaded)
City: Cairo@# ◄
State: (leave as loaded)
PIN Code: (leave as loaded)
Mobile Number: (leave as loaded)
Email: (leave as loaded)</t>
  </si>
  <si>
    <t>City is rejected with an error (no error code defined in SRS)</t>
  </si>
  <si>
    <t>The city was changed to "Cairo@#"; no error message was displayed. After clicking Submit, the system redirected the manager to an empty white page.</t>
  </si>
  <si>
    <t>TC_EC_020</t>
  </si>
  <si>
    <t>State: blank</t>
  </si>
  <si>
    <t>Verify blank state is rejected (EC6, NC8)</t>
  </si>
  <si>
    <t>Customer ID: 4073
Address: (leave as loaded)
City: (leave as loaded)
State: (empty) ◄
PIN Code: (leave as loaded)
Mobile Number: (leave as loaded)
Email: (leave as loaded)</t>
  </si>
  <si>
    <t>The state was changed to blank; no error message was displayed. After clicking Submit, the system redirected the manager to an empty white page.</t>
  </si>
  <si>
    <t>TC_EC_021</t>
  </si>
  <si>
    <t>State: numbers</t>
  </si>
  <si>
    <t>Verify numbers are rejected (EC6, NC9)</t>
  </si>
  <si>
    <t>Customer ID: 4073
Address: (leave as loaded)
City: (leave as loaded)
State: Giza12 ◄
PIN Code: (leave as loaded)
Mobile Number: (leave as loaded)
Email: (leave as loaded)</t>
  </si>
  <si>
    <t>The state was changed to "Giza12"; no error message was displayed. After clicking Submit, the system redirected the manager to an empty white page.</t>
  </si>
  <si>
    <t>TC_EC_022</t>
  </si>
  <si>
    <t>Customer ID: 4073
Address: (leave as loaded)
City:
   [Attempt 1] AbcdefghijAbcdefghijAbcdefghijAbcdefghijAbcdefghij (50 letters)
   [Attempt 2] AbcdefghijAbcdefghijAbcdefghijAbcdefghijAbcdefghijk (51 letters) ◄
State:
   [Attempt 1] AbcdefghijAbcdefghijAbcdefghijAbcdefghijAbcdefghij (50 letters)
   [Attempt 2] AbcdefghijAbcdefghijAbcdefghijAbcdefghijAbcdefghijk (51 letters) ◄
PIN Code: (leave as loaded)
Mobile Number: (leave as loaded)
Email: (leave as loaded)</t>
  </si>
  <si>
    <t>Both the City and State fields accept a maximum of 25 characters.</t>
  </si>
  <si>
    <t>TC_EC_023</t>
  </si>
  <si>
    <t>PIN: blank</t>
  </si>
  <si>
    <t>Verify blank PIN is rejected (EC6, NC10)</t>
  </si>
  <si>
    <t>Customer ID: 4073
Address: (leave as loaded)
City: (leave as loaded)
State: (leave as loaded)
PIN Code: (empty) ◄
Mobile Number: (leave as loaded)
Email: (leave as loaded)</t>
  </si>
  <si>
    <t>The PIN was changed to blank; no error message was displayed. After clicking Submit, the system redirected the manager to an empty white page.</t>
  </si>
  <si>
    <t>TC_EC_024</t>
  </si>
  <si>
    <t>PIN: non-numeric</t>
  </si>
  <si>
    <t>Verify letters and symbols are rejected (EC6, NC11)</t>
  </si>
  <si>
    <t>1. Enter the Customer ID, click Submit, enter the Attempt 1 value, click Submit
2. Load customer 4073 again and repeat for each remaining attempt</t>
  </si>
  <si>
    <t>Customer ID: 4073
Address: (leave as loaded)
City: (leave as loaded)
State: (leave as loaded)
PIN Code:
   [Attempt 1] 12AB56
   [Attempt 2] 12@#56 ◄
Mobile Number: (leave as loaded)
Email: (leave as loaded)</t>
  </si>
  <si>
    <t>The PIN was changed to "12@#56"; no error message was displayed. After clicking Submit, the system redirected the manager to an empty white page.</t>
  </si>
  <si>
    <t>TC_EC_025</t>
  </si>
  <si>
    <t>PIN: 5 digits (BVA)</t>
  </si>
  <si>
    <t>Verify a short PIN is rejected (EC6, NC12)</t>
  </si>
  <si>
    <t>Customer ID: 4073
Address: (leave as loaded)
City: (leave as loaded)
State: (leave as loaded)
PIN Code: 12345 ◄
Mobile Number: (leave as loaded)
Email: (leave as loaded)</t>
  </si>
  <si>
    <t>The PIN was changed to "12345"; no error message was displayed. After clicking Submit, the system redirected the manager to an empty white page.</t>
  </si>
  <si>
    <t>TC_EC_026</t>
  </si>
  <si>
    <t>Customer ID: 4073
Address: (leave as loaded)
City: (leave as loaded)
State: (leave as loaded)
PIN Code: 1234567 ◄
Mobile Number: (leave as loaded)
Email: (leave as loaded)</t>
  </si>
  <si>
    <t>The PIN was saved as "123456" (the 7th digit was not kept); no error message was displayed. After clicking Submit, the system redirected the manager to an empty white page.</t>
  </si>
  <si>
    <t>TC_EC_027</t>
  </si>
  <si>
    <t>Mobile: blank</t>
  </si>
  <si>
    <t>Verify blank mobile is rejected (EC6, NC13)</t>
  </si>
  <si>
    <t>Customer ID: 4073
Address: (leave as loaded)
City: (leave as loaded)
State: (leave as loaded)
PIN Code: (leave as loaded)
Mobile Number: (empty) ◄
Email: (leave as loaded)</t>
  </si>
  <si>
    <t>The mobile number was changed to blank; no error message was displayed. After clicking Submit, the system redirected the manager to an empty white page.</t>
  </si>
  <si>
    <t>TC_EC_028</t>
  </si>
  <si>
    <t>Mobile: non-numeric</t>
  </si>
  <si>
    <t>Verify letters and symbols are rejected (EC6, NC14)</t>
  </si>
  <si>
    <t>Customer ID: 4073
Address: (leave as loaded)
City: (leave as loaded)
State: (leave as loaded)
PIN Code: (leave as loaded)
Mobile Number:
   [Attempt 1] 55512ABC90
   [Attempt 2] 555123@#90 ◄
Email: (leave as loaded)</t>
  </si>
  <si>
    <t>The mobile number was changed to "555123@#90"; no error message was displayed. After clicking Submit, the system redirected the manager to an empty white page.</t>
  </si>
  <si>
    <t>TC_EC_029</t>
  </si>
  <si>
    <t>Customer ID: 4073
Address: (leave as loaded)
City: (leave as loaded)
State: (leave as loaded)
PIN Code: (leave as loaded)
Mobile Number: 555123456 ◄
Email: (leave as loaded)</t>
  </si>
  <si>
    <t>E59: "Mobile number must be 10 digits"</t>
  </si>
  <si>
    <t>The mobile number was changed to "555123456"; no error message was displayed. After clicking Submit, the system redirected the manager to an empty white page.</t>
  </si>
  <si>
    <t>TC_EC_030</t>
  </si>
  <si>
    <t>Customer ID: 4073
Address: (leave as loaded)
City: (leave as loaded)
State: (leave as loaded)
PIN Code: (leave as loaded)
Mobile Number: 55512345678 ◄
Email: (leave as loaded)</t>
  </si>
  <si>
    <t>The 11th digit is not accepted, or E59 is displayed</t>
  </si>
  <si>
    <t>The mobile number was changed to "55512345678"; no error message was displayed. After clicking Submit, the system redirected the manager to an empty white page.</t>
  </si>
  <si>
    <t>TC_EC_031</t>
  </si>
  <si>
    <t>Email: blank</t>
  </si>
  <si>
    <t>Verify blank email is rejected (EC6, NC15)</t>
  </si>
  <si>
    <t>Customer ID: 4073
Address: (leave as loaded)
City: (leave as loaded)
State: (leave as loaded)
PIN Code: (leave as loaded)
Mobile Number: (leave as loaded)
Email: (empty) ◄</t>
  </si>
  <si>
    <t>The email was changed to blank; no error message was displayed. After clicking Submit, the system redirected the manager to an empty white page.</t>
  </si>
  <si>
    <t>TC_EC_032</t>
  </si>
  <si>
    <t>Email: invalid format</t>
  </si>
  <si>
    <t>Verify invalid formats are rejected (EC6, NC16)</t>
  </si>
  <si>
    <t>Customer ID: 4073
Address: (leave as loaded)
City: (leave as loaded)
State: (leave as loaded)
PIN Code: (leave as loaded)
Mobile Number: (leave as loaded)
Email:
   [Attempt 1] john.smith
   [Attempt 2] john@
   [Attempt 3] @test.com
   [Attempt 4] john@test
   [Attempt 5] john smith@test.com ◄</t>
  </si>
  <si>
    <t>The email was changed to the last attempted value; no error message was displayed. After clicking Submit, the system redirected the manager to an empty white page.</t>
  </si>
  <si>
    <t>TC_EC_033</t>
  </si>
  <si>
    <t>Email: change to a new unique email (EC5)</t>
  </si>
  <si>
    <t>Verify a unique new email is accepted</t>
  </si>
  <si>
    <t>Customer ID: 4073
Address: (leave as loaded)
City: (leave as loaded)
State: (leave as loaded)
PIN Code: (leave as loaded)
Mobile Number: (leave as loaded)
Email: john.edit33@test.com ◄</t>
  </si>
  <si>
    <t>Email is updated successfully</t>
  </si>
  <si>
    <t>The email was changed to "john.edit33@test.com"; no error or success message was displayed. After clicking Submit, the system redirected the manager to an empty white page.</t>
  </si>
  <si>
    <t>TC_EC_034</t>
  </si>
  <si>
    <t>Email: change to an existing email (EC5)</t>
  </si>
  <si>
    <t>Verify an email used by another customer is rejected</t>
  </si>
  <si>
    <t>1. Logged in as Manager
2. Customer 4073 exists and is associated with this Manager (created in TC_NC_001)
3. Edit Customer page is open
4. Another customer is registered with the email a1a@gmail.com</t>
  </si>
  <si>
    <t>Customer ID: 4073
Address: (leave as loaded)
City: (leave as loaded)
State: (leave as loaded)
PIN Code: (leave as loaded)
Mobile Number: (leave as loaded)
Email: a1a@gmail.com (email of another customer) ◄</t>
  </si>
  <si>
    <t>E49: "Customer with this email already exists"; the customer's email is not changed</t>
  </si>
  <si>
    <t>The email was changed to "a1a@gmail.com" and the duplicate-email error (E49) was not displayed; no error or success message was displayed. After clicking Submit, the system redirected the manager to an empty white page.</t>
  </si>
  <si>
    <t>TC_EC_035</t>
  </si>
  <si>
    <t>Email: existing email with different case (EC5)</t>
  </si>
  <si>
    <t>1. Logged in as Manager
2. Customer 4073 exists and is associated with this Manager (created in TC_NC_001)
3. Edit Customer page is open
4. Customer 78692 (customer B created in TC_NC_004) exists with the email john.smith04b@test.com</t>
  </si>
  <si>
    <t>Customer ID: 4073
Address: (leave as loaded)
City: (leave as loaded)
State: (leave as loaded)
PIN Code: (leave as loaded)
Mobile Number: (leave as loaded)
Email: JOHN.SMITH04B@TEST.COM ◄</t>
  </si>
  <si>
    <t>The email was changed to "JOHN.SMITH04B@TEST.COM" and the duplicate-email error (E49) was not displayed; no error or success message was displayed. After clicking Submit, the system redirected the manager to an empty white page.</t>
  </si>
  <si>
    <t>TC_EC_036</t>
  </si>
  <si>
    <t>Email: keep own email while editing another field (EC5)</t>
  </si>
  <si>
    <t>Verify E49 is not raised when the email is unchanged</t>
  </si>
  <si>
    <t>Customer ID: 4073
Address: 78 River Road ◄
City: (leave as loaded)
State: (leave as loaded)
PIN Code: (leave as loaded)
Mobile Number: (leave as loaded)
Email: (leave as loaded: the current email of customer 4073) ◄</t>
  </si>
  <si>
    <t>Update succeeds; E49 is not displayed because the email was not changed</t>
  </si>
  <si>
    <t>The address was changed to "78 River Road"; no error or success message was displayed. After clicking Submit, the system redirected the manager to an empty white page.</t>
  </si>
  <si>
    <t>TC_EC_037</t>
  </si>
  <si>
    <t>Customer ID: 4073
Address: (leave as loaded)
City: (leave as loaded)
State: (leave as loaded)
PIN Code: (leave as loaded)
Mobile Number: (leave as loaded)
Email:
   [Attempt 1] aaaaaaaaaaaaaaaaaaaaaaaaaaaaaaaaaaaaaaaaa@test.com (50 characters)
   [Attempt 2] aaaaaaaaaaaaaaaaaaaaaaaaaaaaaaaaaaaaaaaaaa@test.com (51 characters) ◄</t>
  </si>
  <si>
    <t>The Email field accepts a maximum of 30 characters.</t>
  </si>
  <si>
    <t>TC_EC_038</t>
  </si>
  <si>
    <t>Customer ID: 4073
Address: (leave as loaded)
City: (leave as loaded)
State: (leave as loaded)
PIN Code: 123 ◄
Mobile Number: abc ◄
Email: xyz ◄</t>
  </si>
  <si>
    <t>E10, E12 and E14 are displayed; no data is changed</t>
  </si>
  <si>
    <t>The PIN, mobile number and email were changed to the invalid values; no error or success message was displayed. After clicking Submit, the system redirected the manager to an empty white page.</t>
  </si>
  <si>
    <t>TC_EC_039</t>
  </si>
  <si>
    <t>Failed update does not change stored data</t>
  </si>
  <si>
    <t>Verify a rejected update leaves the customer unchanged</t>
  </si>
  <si>
    <t>1. Load customer 4073, enter an invalid PIN, click Submit (error expected)
2. Reload customer 4073 and review the values</t>
  </si>
  <si>
    <t>Customer ID: 4073
PIN Code: 123 ◄ (invalid)
All other fields: (leave as loaded)</t>
  </si>
  <si>
    <t>E10 is displayed on submit; after reloading, all fields still hold their previous values</t>
  </si>
  <si>
    <t>The PIN was changed to the invalid value "123"; no error or success message was displayed. After clicking Submit, the system redirected the manager to an empty white page.</t>
  </si>
  <si>
    <t>Customer ID: 4073
Address: &lt;script&gt;alert('x')&lt;/script&gt; ◄
City: (leave as loaded)
State: (leave as loaded)
PIN Code: (leave as loaded)
Mobile Number: (leave as loaded)
Email: (leave as loaded)</t>
  </si>
  <si>
    <t>Input is rejected and no script is executed</t>
  </si>
  <si>
    <t>The input was rejected and no script was executed.</t>
  </si>
  <si>
    <t>TC_DC_001</t>
  </si>
  <si>
    <t>Delete customer without accounts</t>
  </si>
  <si>
    <t>Verify a customer with no accounts can be deleted after confirmation</t>
  </si>
  <si>
    <t>1. Logged in as Manager
2. Customer 4073 exists, has no accounts and is associated with this Manager
3. Delete Customer page is open</t>
  </si>
  <si>
    <t>1. Enter the Customer ID from Test data
2. Click Delete
3. Confirm in the dialog</t>
  </si>
  <si>
    <t>Customer ID: 4073 ◄</t>
  </si>
  <si>
    <t>A confirmation dialog appears; after confirming, the customer is deleted and a success message is displayed (message not defined in SRS)</t>
  </si>
  <si>
    <t>The customer was deleted, but the system redirected the manager to a "This page isn't working" error page; no success or error message was displayed.</t>
  </si>
  <si>
    <t>TC_DC_002</t>
  </si>
  <si>
    <t>Verify deletion is not executed until the Manager confirms</t>
  </si>
  <si>
    <t>1. Logged in as Manager
2. Customer 4073 exists with no accounts
3. Delete Customer page is open</t>
  </si>
  <si>
    <t>1. Enter the Customer ID
2. Click Delete
3. Observe the dialog without confirming</t>
  </si>
  <si>
    <t>A confirmation dialog is displayed after clicking Delete; the customer still exists until the dialog is confirmed</t>
  </si>
  <si>
    <t>The system redirected the manager to a "This page isn't working" error page and deleted the customer without any success or error message.</t>
  </si>
  <si>
    <t>TC_DC_003</t>
  </si>
  <si>
    <t>Cancel the confirmation dialog</t>
  </si>
  <si>
    <t>Verify cancelling keeps the customer</t>
  </si>
  <si>
    <t>1. Enter the Customer ID
2. Click Delete
3. Click Cancel in the dialog
4. Open Edit Customer and load the same ID</t>
  </si>
  <si>
    <t>The customer is not deleted; loading the ID in Edit Customer still shows the customer details</t>
  </si>
  <si>
    <t>The customer was not deleted; loading the ID in Edit Customer still shows the customer details.</t>
  </si>
  <si>
    <t>TC_DC_004</t>
  </si>
  <si>
    <t>Deleted customer cannot be retrieved</t>
  </si>
  <si>
    <t>Verify the deleted customer no longer exists</t>
  </si>
  <si>
    <t>1. Logged in as Manager
2. Customer 4073 was deleted in TC_DC_001</t>
  </si>
  <si>
    <t>1. Open Edit Customer
2. Enter the deleted Customer ID
3. Click Submit</t>
  </si>
  <si>
    <t>Customer ID: 4073 (deleted in TC_DC_001) ◄</t>
  </si>
  <si>
    <t>The error message E51 "Customer ID does not exist" was displayed, but the system also redirected the manager to a "This page isn't working" error page.</t>
  </si>
  <si>
    <t>TC_DC_005</t>
  </si>
  <si>
    <t>Delete an already deleted customer</t>
  </si>
  <si>
    <t>Verify deleting the same ID twice is handled (DC3)</t>
  </si>
  <si>
    <t>1. Logged in as Manager
2. Customer 4073 was deleted in TC_DC_001
3. Delete Customer page is open</t>
  </si>
  <si>
    <t>1. Enter the Customer ID from Test data
2. Click Delete</t>
  </si>
  <si>
    <t>Customer ID: 4073 (already deleted) ◄</t>
  </si>
  <si>
    <t>TC_DC_006</t>
  </si>
  <si>
    <t>Customer ID: blank (DC1)</t>
  </si>
  <si>
    <t>1. Logged in as Manager
2. Delete Customer page is open</t>
  </si>
  <si>
    <t>TC_DC_007</t>
  </si>
  <si>
    <t>Customer ID: non-numeric (DC2)</t>
  </si>
  <si>
    <t>1. Enter the Attempt 1 value (other fields valid), click Delete
2. Repeat for each remaining attempt</t>
  </si>
  <si>
    <t>TC_DC_008</t>
  </si>
  <si>
    <t>Customer ID: zero, negative, decimal</t>
  </si>
  <si>
    <t>Verify unusual numeric values are handled</t>
  </si>
  <si>
    <t>Each value is rejected with E16 or E51; nothing is deleted</t>
  </si>
  <si>
    <t>TC_DC_009</t>
  </si>
  <si>
    <t>Customer ID: does not exist (DC3)</t>
  </si>
  <si>
    <t>Verify an unknown ID is rejected</t>
  </si>
  <si>
    <t>Customer with active accounts (DC4)</t>
  </si>
  <si>
    <t>Verify a customer with accounts cannot be deleted</t>
  </si>
  <si>
    <t>1. Logged in as Manager
2. Customer 38892 has active accounts 185657 and 185658
3. Delete Customer page is open</t>
  </si>
  <si>
    <t>1. Enter the Customer ID
2. Click Delete
3. Confirm in the dialog (if shown)</t>
  </si>
  <si>
    <t>Customer ID: 38892 ◄ (owner of accounts 185657 and 185658)</t>
  </si>
  <si>
    <t>E52: "Customer has active accounts and cannot be deleted"; the customer and accounts remain</t>
  </si>
  <si>
    <t>Customer of another Manager (DC5)</t>
  </si>
  <si>
    <t>Verify a Manager cannot delete another Manager's customer</t>
  </si>
  <si>
    <t>1. A second Manager account exists (Manager 2) and owns customer/account that are NOT associated with Manager 1
2. Logged in as Manager 1
3. Delete Customer page is open</t>
  </si>
  <si>
    <t>Customer ID: a Manager 2 customer (ID not recorded) ◄
Logged in as: Manager 1</t>
  </si>
  <si>
    <t>E44 is displayed; the customer is not deleted</t>
  </si>
  <si>
    <t>TC_DC_012</t>
  </si>
  <si>
    <t>1. Type the Customer ID
2. Click Reset</t>
  </si>
  <si>
    <t>Customer ID: 12345 (typed, then Reset)</t>
  </si>
  <si>
    <t>The Customer ID field is cleared and no error is displayed</t>
  </si>
  <si>
    <t>Deleted customer's email can be reused</t>
  </si>
  <si>
    <t>Verify the email of a deleted customer is released</t>
  </si>
  <si>
    <t>1. Open New Customer
2. Fill the form with the email of the deleted customer and valid data
3. Click Submit</t>
  </si>
  <si>
    <t>Email: the email of the deleted customer 4073</t>
  </si>
  <si>
    <t>A new customer with the same email is created without E49</t>
  </si>
  <si>
    <t>TC_DC_014</t>
  </si>
  <si>
    <t>Browser refresh after deletion</t>
  </si>
  <si>
    <t>Verify refreshing after a deletion does not crash</t>
  </si>
  <si>
    <t>1. After a successful deletion press F5 and confirm the resubmission prompt (if any)</t>
  </si>
  <si>
    <t>Customer ID: 4073 (deleted in TC_DC_001)</t>
  </si>
  <si>
    <t>No server error is shown; the page shows E51 or reloads the empty form</t>
  </si>
  <si>
    <t>The system redirected the manager to a "This page isn't working" error page; no success or error message was displayed.</t>
  </si>
  <si>
    <t>TC_NA_001</t>
  </si>
  <si>
    <t>Create Savings account with valid data</t>
  </si>
  <si>
    <t>Verify a Savings account is created (account 185657)</t>
  </si>
  <si>
    <t>1. Logged in as Manager
2. Customer 38892 exists and is associated with this Manager
3. New Account page is open</t>
  </si>
  <si>
    <t>Customer ID: 38892
Account Type: Savings
Initial Deposit: 1000</t>
  </si>
  <si>
    <t>A unique Account Number is generated and a confirmation is displayed with the account details</t>
  </si>
  <si>
    <t>The account was created successfully. Generated Account ID: 185657.</t>
  </si>
  <si>
    <t>TC_NA_002</t>
  </si>
  <si>
    <t>Create Current account with valid data</t>
  </si>
  <si>
    <t>Verify a Current account is created (account 185658)</t>
  </si>
  <si>
    <t>Customer ID: 38892
Account Type: Current ◄
Initial Deposit: 5000 ◄</t>
  </si>
  <si>
    <t>A unique Account Number is generated and a confirmation is displayed</t>
  </si>
  <si>
    <t>The account was created successfully. Generated Account ID: 185658.</t>
  </si>
  <si>
    <t>TC_NA_003</t>
  </si>
  <si>
    <t>Verify fields in SRS 3.1.5 exist</t>
  </si>
  <si>
    <t>1. Open the New Account page
2. Review the form and open the Account Type dropdown</t>
  </si>
  <si>
    <t>Customer ID, Account Type (dropdown with only Savings and Current), Initial Deposit, Submit and Reset are present</t>
  </si>
  <si>
    <t>TC_NA_004</t>
  </si>
  <si>
    <t>Unique account numbers</t>
  </si>
  <si>
    <t>Verify every account gets a different number</t>
  </si>
  <si>
    <t>1. Compare the Account Numbers generated in TC_NA_001 and TC_NA_002</t>
  </si>
  <si>
    <t>Account 185657 (created in TC_NA_001) and account 185658 (created in TC_NA_002)</t>
  </si>
  <si>
    <t>The Account Numbers generated for 185657 and 185658 are different</t>
  </si>
  <si>
    <t>The Account Numbers 185657 and 185658 are different.</t>
  </si>
  <si>
    <t>TC_NA_005</t>
  </si>
  <si>
    <t>All fields are cleared and the dropdown returns to its default; no error is displayed</t>
  </si>
  <si>
    <t>TC_NA_006</t>
  </si>
  <si>
    <t>Several accounts for one customer</t>
  </si>
  <si>
    <t>Verify one customer can own more than one account of the same type</t>
  </si>
  <si>
    <t>Customer ID: 38892
Account Type: Savings
Initial Deposit: 1500 ◄</t>
  </si>
  <si>
    <t>A second Savings account is created for customer 38892 with a new Account Number</t>
  </si>
  <si>
    <t>The account was created successfully. Generated Account ID: 185659.</t>
  </si>
  <si>
    <t>TC_NA_007</t>
  </si>
  <si>
    <t>Opening balance equals initial deposit</t>
  </si>
  <si>
    <t>Verify the new account balance</t>
  </si>
  <si>
    <t>1. Logged in as Manager
2. Account 185657 was created in TC_NA_001 and no other transaction was made on it</t>
  </si>
  <si>
    <t>1. Open Balance Enquiry
2. Enter the Account Number of 185657
3. Click Submit</t>
  </si>
  <si>
    <t>Account Number: 185657
Expected balance: 1000.00</t>
  </si>
  <si>
    <t>Balance Enquiry for 185657 shows a balance equal to the Initial Deposit</t>
  </si>
  <si>
    <t>The system redirected the manager to a "This page isn't working" error page, so the balance could not be verified.</t>
  </si>
  <si>
    <t>TC_NA_008</t>
  </si>
  <si>
    <t>Customer ID: blank (NA1)</t>
  </si>
  <si>
    <t>Customer ID: (empty) ◄
Account Type: Savings
Initial Deposit: 1000</t>
  </si>
  <si>
    <t>TC_NA_009</t>
  </si>
  <si>
    <t>Customer ID: non-numeric (NA2)</t>
  </si>
  <si>
    <t>1. Enter the Attempt 1 value (other fields valid), click Submit
2. Repeat for each remaining attempt</t>
  </si>
  <si>
    <t>Customer ID:
   [Attempt 1] ABC123
   [Attempt 2] 12@#45 ◄
Account Type: Savings
Initial Deposit: 1000</t>
  </si>
  <si>
    <t>TC_NA_010</t>
  </si>
  <si>
    <t>Customer ID:
   [Attempt 1] 0
   [Attempt 2] -5
   [Attempt 3] 12.5 ◄
Account Type: Savings
Initial Deposit: 1000</t>
  </si>
  <si>
    <t>Each value is rejected with E16 or E51; no account is created</t>
  </si>
  <si>
    <t>TC_NA_011</t>
  </si>
  <si>
    <t>Customer ID: does not exist (NA3)</t>
  </si>
  <si>
    <t>Customer ID: 999999999 ◄
Account Type: Savings
Initial Deposit: 1000</t>
  </si>
  <si>
    <t>Customer of another Manager (NA4)</t>
  </si>
  <si>
    <t>Verify a Manager cannot open an account for another Manager's customer</t>
  </si>
  <si>
    <t>1. A second Manager account exists (Manager 2) and owns customer/account that are NOT associated with Manager 1
2. Logged in as Manager 1
3. New Account page is open</t>
  </si>
  <si>
    <t>Customer ID: a Manager 2 customer (ID not recorded) ◄
Account Type: Savings
Initial Deposit: 1000</t>
  </si>
  <si>
    <t>E44 is displayed; no account is created</t>
  </si>
  <si>
    <t>The message "You are not authorized to Add Account for this Customer" was displayed.</t>
  </si>
  <si>
    <t>TC_NA_013</t>
  </si>
  <si>
    <t>Customer ID: max length 10 (BVA)</t>
  </si>
  <si>
    <t>Verify the 10-character limit</t>
  </si>
  <si>
    <t>Customer ID: 12345678901 (11 digits) ◄
Account Type: Savings
Initial Deposit: 1000</t>
  </si>
  <si>
    <t>Only 10 digits are accepted in the field (the 11th is not typed or is rejected)</t>
  </si>
  <si>
    <t>The system displayed E51 "Customer ID does not exist" for the 11-digit ID; the field did not limit the input to 10 digits.</t>
  </si>
  <si>
    <t>Account Type: not selected (NA5)</t>
  </si>
  <si>
    <t>Verify Account Type is mandatory</t>
  </si>
  <si>
    <t>Customer ID: 38892
Account Type: (not selected) ◄
Initial Deposit: 1000</t>
  </si>
  <si>
    <t>E17: "Account Type must not be blank"</t>
  </si>
  <si>
    <t>Savings is selected by default, so Account Type cannot be left empty and E17 cannot be triggered.</t>
  </si>
  <si>
    <t>TC_NA_015</t>
  </si>
  <si>
    <t>Initial Deposit: blank (NA6)</t>
  </si>
  <si>
    <t>Verify blank deposit is rejected</t>
  </si>
  <si>
    <t>Customer ID: 38892
Account Type: Savings
Initial Deposit: (empty) ◄</t>
  </si>
  <si>
    <t>E18: "Initial Deposit must not be blank"</t>
  </si>
  <si>
    <t>TC_NA_016</t>
  </si>
  <si>
    <t>Initial Deposit: non-numeric (NA7)</t>
  </si>
  <si>
    <t>Customer ID: 38892
Account Type: Savings
Initial Deposit:
   [Attempt 1] abc
   [Attempt 2] 10@0
   [Attempt 3] 5 00 ◄</t>
  </si>
  <si>
    <t>E19: "Initial Deposit must be numeric" for each attempt</t>
  </si>
  <si>
    <t>TC_NA_017</t>
  </si>
  <si>
    <t>Initial Deposit: 499 (BVA)</t>
  </si>
  <si>
    <t>Verify the value just below the minimum is rejected</t>
  </si>
  <si>
    <t>Customer ID: 38892
Account Type: Savings
Initial Deposit: 499 ◄</t>
  </si>
  <si>
    <t>E20 is displayed; no account is created</t>
  </si>
  <si>
    <t>TC_NA_018</t>
  </si>
  <si>
    <t>Initial Deposit: 500 (BVA)</t>
  </si>
  <si>
    <t>Verify the minimum value is accepted (NA8: &gt;= 500)</t>
  </si>
  <si>
    <t>Customer ID: 38892
Account Type: Savings
Initial Deposit: 500 ◄</t>
  </si>
  <si>
    <t>Account is created (NA8 says &gt;= 500, but E20 text says "greater than 500"; document the actual behavior)</t>
  </si>
  <si>
    <t>The account was created successfully. Generated Account ID: 185660.</t>
  </si>
  <si>
    <t>TC_NA_019</t>
  </si>
  <si>
    <t>Initial Deposit: 501 (BVA)</t>
  </si>
  <si>
    <t>Verify a value just above the minimum is accepted</t>
  </si>
  <si>
    <t>Customer ID: 38892
Account Type: Savings
Initial Deposit: 501 ◄</t>
  </si>
  <si>
    <t>Account is created with balance 501.00</t>
  </si>
  <si>
    <t>The account was created successfully. Generated Account ID: 185661.</t>
  </si>
  <si>
    <t>TC_NA_020</t>
  </si>
  <si>
    <t>Initial Deposit: zero</t>
  </si>
  <si>
    <t>Verify zero is rejected</t>
  </si>
  <si>
    <t>Customer ID: 38892
Account Type: Savings
Initial Deposit: 0 ◄</t>
  </si>
  <si>
    <t>TC_NA_021</t>
  </si>
  <si>
    <t>Initial Deposit: negative</t>
  </si>
  <si>
    <t>Verify a negative amount is rejected</t>
  </si>
  <si>
    <t>Customer ID: 38892
Account Type: Savings
Initial Deposit: -500 ◄</t>
  </si>
  <si>
    <t>The value is rejected with E19 or E20; no account is created</t>
  </si>
  <si>
    <t>TC_NA_022</t>
  </si>
  <si>
    <t>Initial Deposit: decimal</t>
  </si>
  <si>
    <t>Verify a decimal amount is handled</t>
  </si>
  <si>
    <t>Customer ID: 38892
Account Type: Savings
Initial Deposit: 500.50 ◄</t>
  </si>
  <si>
    <t>Account is created with balance 500.50, or a clear error is shown (SRS does not define decimals)</t>
  </si>
  <si>
    <t>E19 "Initial Deposit must be numeric" was displayed for the decimal value 500.50; no account was created.</t>
  </si>
  <si>
    <t>TC_NA_023</t>
  </si>
  <si>
    <t>Initial Deposit: three decimals</t>
  </si>
  <si>
    <t>Verify precision handling</t>
  </si>
  <si>
    <t>Customer ID: 38892
Account Type: Savings
Initial Deposit: 500.555 ◄</t>
  </si>
  <si>
    <t>The value is rejected, or rounded consistently to 2 decimals (DB uses DECIMAL(15,2))</t>
  </si>
  <si>
    <t>E19 is displayed; no account is created</t>
  </si>
  <si>
    <t>TC_NA_024</t>
  </si>
  <si>
    <t>Initial Deposit: leading zeros</t>
  </si>
  <si>
    <t>Verify leading zeros are handled</t>
  </si>
  <si>
    <t>Customer ID: 38892
Account Type: Savings
Initial Deposit: 0500 ◄</t>
  </si>
  <si>
    <t>Value is read as 500 and handled like TC_NA_018</t>
  </si>
  <si>
    <t>The account was created successfully. Generated Account ID: 185662.</t>
  </si>
  <si>
    <t>TC_NA_025</t>
  </si>
  <si>
    <t>Initial Deposit: very large amount</t>
  </si>
  <si>
    <t>Verify overflow is handled gracefully</t>
  </si>
  <si>
    <t>Customer ID: 38892
Account Type: Savings
Initial Deposit: 99999999999999999999 (20 digits) ◄</t>
  </si>
  <si>
    <t>A clear error is displayed; no crash, no stack trace and no account with a wrong balance (DB limit is 13 integer digits)</t>
  </si>
  <si>
    <t>The Initial Deposit field accepts a maximum of 8 digits.</t>
  </si>
  <si>
    <t>TC_NA_026</t>
  </si>
  <si>
    <t>Customer ID: (empty) ◄
Account Type: (not selected) ◄
Initial Deposit: (empty) ◄</t>
  </si>
  <si>
    <t>E15, E17 and E18 are displayed; no account is created</t>
  </si>
  <si>
    <t>TC_NA_027</t>
  </si>
  <si>
    <t>Customer ID: ABC ◄
Account Type: (not selected) ◄
Initial Deposit: 100 ◄</t>
  </si>
  <si>
    <t>E16, E17 and E20 are displayed; no account is created</t>
  </si>
  <si>
    <t>TC_NA_028</t>
  </si>
  <si>
    <t>SQL injection in Initial Deposit</t>
  </si>
  <si>
    <t>Customer ID: 38892
Account Type: Savings
Initial Deposit: 500' OR '1'='1 ◄</t>
  </si>
  <si>
    <t>E19 is displayed; no database error is shown</t>
  </si>
  <si>
    <t>TC_NA_029</t>
  </si>
  <si>
    <t>Verify no duplicate account is created</t>
  </si>
  <si>
    <t>Only one account is created for the double-click</t>
  </si>
  <si>
    <t>The account was created successfully. Generated Account ID: 185664.</t>
  </si>
  <si>
    <t>Retrieve account with valid number</t>
  </si>
  <si>
    <t>Verify account details are displayed</t>
  </si>
  <si>
    <t>1. Logged in as Manager
2. Account 185657 (Savings) exists and is associated with this Manager
3. Edit Account page is open</t>
  </si>
  <si>
    <t>1. Enter the Account Number
2. Click Submit</t>
  </si>
  <si>
    <t>Account Number: 185657 ◄</t>
  </si>
  <si>
    <t>Account details are displayed in a form (Account Number, Customer ID, Account Type, Balance)</t>
  </si>
  <si>
    <t>After submitting the Account Number, the system redirected the manager to a "This page isn't working" error page.</t>
  </si>
  <si>
    <t>TC_EA_002</t>
  </si>
  <si>
    <t>Verify Account Number, Customer ID and Balance cannot be edited</t>
  </si>
  <si>
    <t>1. Load 185657
2. Try to type in each of the three fields</t>
  </si>
  <si>
    <t>Account Number: 185657</t>
  </si>
  <si>
    <t>Account Number, Customer ID and Balance are disabled and cannot be changed</t>
  </si>
  <si>
    <t>The system redirected the manager to a "This page isn't working" error page. The test could not be completed.</t>
  </si>
  <si>
    <t>TC_EA_003</t>
  </si>
  <si>
    <t>Account Type dropdown options</t>
  </si>
  <si>
    <t>Verify only Savings and Current are offered</t>
  </si>
  <si>
    <t>1. Load 185657
2. Open the Account Type dropdown</t>
  </si>
  <si>
    <t>The dropdown offers Savings and Current only; Account Type is editable</t>
  </si>
  <si>
    <t>TC_EA_004</t>
  </si>
  <si>
    <t>Change Savings to Current</t>
  </si>
  <si>
    <t>Verify the account type can be changed and is saved</t>
  </si>
  <si>
    <t>1. Enter the Account Number from Test data and click Submit
2. Change Account Type as shown in Test data
3. Click Submit
4. Reload 185657 and check Account Type</t>
  </si>
  <si>
    <t>Account Number: 185657
Account Type: Current ◄</t>
  </si>
  <si>
    <t>Account Type is updated and a confirmation is displayed; reloading 185657 shows Current</t>
  </si>
  <si>
    <t>TC_EA_005</t>
  </si>
  <si>
    <t>Change Current to Savings</t>
  </si>
  <si>
    <t>Verify the reverse change</t>
  </si>
  <si>
    <t>1. Logged in as Manager
2. Account 185658 (Current) exists and is associated with this Manager
3. Edit Account page is open</t>
  </si>
  <si>
    <t>1. Enter the Account Number from Test data and click Submit
2. Change Account Type as shown in Test data
3. Click Submit</t>
  </si>
  <si>
    <t>Account Number: 185658
Account Type: Savings ◄</t>
  </si>
  <si>
    <t>Account Type is updated; reloading 185658 shows Savings</t>
  </si>
  <si>
    <t>TC_EA_006</t>
  </si>
  <si>
    <t>Submit without changes</t>
  </si>
  <si>
    <t>Verify submitting an unchanged form is handled</t>
  </si>
  <si>
    <t>Account Number: 185657
Account Type: (leave as loaded)</t>
  </si>
  <si>
    <t>TC_EA_007</t>
  </si>
  <si>
    <t>Balance unchanged after type change</t>
  </si>
  <si>
    <t>Verify editing does not affect the balance</t>
  </si>
  <si>
    <t>1. Note the balance in Balance Enquiry
2. Change Account Type (TC_EA_004)
3. Check the balance again</t>
  </si>
  <si>
    <t>Account Number: 185657
Balance before and after: compare</t>
  </si>
  <si>
    <t>Balance Enquiry shows the same balance before and after the change</t>
  </si>
  <si>
    <t>TC_EA_008</t>
  </si>
  <si>
    <t>Account Type: not selected (EA5)</t>
  </si>
  <si>
    <t>Verify Account Type cannot be blank</t>
  </si>
  <si>
    <t>Account Number: 185657
Account Type: (not selected) ◄</t>
  </si>
  <si>
    <t>E17: "Account Type must not be blank" (applies only if the dropdown allows an empty option)</t>
  </si>
  <si>
    <t>TC_EA_009</t>
  </si>
  <si>
    <t>Account Number: blank (EA1)</t>
  </si>
  <si>
    <t>Verify blank account number is rejected</t>
  </si>
  <si>
    <t>1. Leave Account Number empty
2. Click Submit</t>
  </si>
  <si>
    <t>Account Number: (empty) ◄</t>
  </si>
  <si>
    <t>E21: "Account Number must not be blank"</t>
  </si>
  <si>
    <t>TC_EA_010</t>
  </si>
  <si>
    <t>Account Number: non-numeric (EA2)</t>
  </si>
  <si>
    <t>Account Number:
   [Attempt 1] ABC123
   [Attempt 2] 12@#45 ◄</t>
  </si>
  <si>
    <t>E22: "Account Number must be numeric" (or E23 "Characters are not allowed in Account Number"; SRS overlaps)</t>
  </si>
  <si>
    <t>TC_EA_011</t>
  </si>
  <si>
    <t>Account Number: zero, negative, decimal</t>
  </si>
  <si>
    <t>Account Number:
   [Attempt 1] 0
   [Attempt 2] -5
   [Attempt 3] 12.5 ◄</t>
  </si>
  <si>
    <t>Each value is rejected with E22 or E24; no account is loaded</t>
  </si>
  <si>
    <t>TC_EA_012</t>
  </si>
  <si>
    <t>Account Number: does not exist (EA3)</t>
  </si>
  <si>
    <t>Verify an unknown account is rejected</t>
  </si>
  <si>
    <t>Account Number: 999999999999999 ◄</t>
  </si>
  <si>
    <t>E24: "Account Number not found"</t>
  </si>
  <si>
    <t>Account of another Manager (EA4)</t>
  </si>
  <si>
    <t>Verify a Manager cannot edit another Manager's account</t>
  </si>
  <si>
    <t>1. A second Manager account exists (Manager 2) and owns customer/account that are NOT associated with Manager 1
2. Logged in as Manager 1
3. Edit Account page is open</t>
  </si>
  <si>
    <t>Account Number: an account of a Manager 2 customer (number not recorded) ◄</t>
  </si>
  <si>
    <t>E44 is displayed; the account is not loaded</t>
  </si>
  <si>
    <t>TC_EA_014</t>
  </si>
  <si>
    <t>Account Number: max length 15 (BVA)</t>
  </si>
  <si>
    <t>Verify the 15-character limit</t>
  </si>
  <si>
    <t>Account Number: 1234567890123456 (16 digits) ◄</t>
  </si>
  <si>
    <t>The 16th digit is not accepted, or E24 is displayed</t>
  </si>
  <si>
    <t>SQL injection in Account Number</t>
  </si>
  <si>
    <t>Account Number: 1 OR 1=1 ◄</t>
  </si>
  <si>
    <t>E22 is displayed; no account data is returned and no database error is shown</t>
  </si>
  <si>
    <t>TC_DA_001</t>
  </si>
  <si>
    <t>Delete account with zero balance</t>
  </si>
  <si>
    <t>Verify an account with zero balance can be deleted after confirmation</t>
  </si>
  <si>
    <t>1. Logged in as Manager
2. An account with balance 0.00 exists and is associated with this Manager (not available, see Test Data Setup)
3. Delete Account page is open</t>
  </si>
  <si>
    <t>1. Enter the Account Number
2. Click Delete
3. Confirm in the dialog</t>
  </si>
  <si>
    <t>Account Number: an account with balance 0.00 (not available, see Test Data Setup) ◄</t>
  </si>
  <si>
    <t>A confirmation dialog appears; after confirming, the account is deleted and a success message is displayed (see SRS gap: accounts with transactions)</t>
  </si>
  <si>
    <t>The test could not be executed: an account with a zero balance cannot be created (the minimum initial deposit is 500).</t>
  </si>
  <si>
    <t>TC_DA_002</t>
  </si>
  <si>
    <t>Verify deletion is not executed until confirmed</t>
  </si>
  <si>
    <t>1. Logged in as Manager
2. An account with balance 0.00 exists (not available, see Test Data Setup)</t>
  </si>
  <si>
    <t>1. Enter the Account Number
2. Click Delete
3. Observe the dialog without confirming</t>
  </si>
  <si>
    <t>A confirmation dialog is displayed; the account still exists until confirmed</t>
  </si>
  <si>
    <t>TC_DA_003</t>
  </si>
  <si>
    <t>Verify cancelling keeps the account</t>
  </si>
  <si>
    <t>1. Enter the Account Number
2. Click Delete
3. Click Cancel
4. Check the account in Balance Enquiry</t>
  </si>
  <si>
    <t>The account is not deleted; Balance Enquiry still returns it</t>
  </si>
  <si>
    <t>TC_DA_004</t>
  </si>
  <si>
    <t>Deleted account cannot be retrieved</t>
  </si>
  <si>
    <t>Verify the deleted account no longer exists</t>
  </si>
  <si>
    <t>1. Logged in as Manager
2. The account was deleted in TC_DA_001</t>
  </si>
  <si>
    <t>1. Open Balance Enquiry
2. Enter the deleted Account Number
3. Click Submit</t>
  </si>
  <si>
    <t>The system redirected the manager to a "This page isn't working" error page.</t>
  </si>
  <si>
    <t>TC_DA_005</t>
  </si>
  <si>
    <t>Delete an already deleted account</t>
  </si>
  <si>
    <t>Verify deleting the same account twice is handled</t>
  </si>
  <si>
    <t>1. Logged in as Manager
2. The account was deleted in TC_DA_001
3. Delete Account page is open</t>
  </si>
  <si>
    <t>1. Enter the Account Number from Test data
2. Click Delete</t>
  </si>
  <si>
    <t>TC_DA_006</t>
  </si>
  <si>
    <t>Account Number: blank (DA1)</t>
  </si>
  <si>
    <t>1. Logged in as Manager
2. Delete Account page is open</t>
  </si>
  <si>
    <t>TC_DA_007</t>
  </si>
  <si>
    <t>Account Number: non-numeric (DA2)</t>
  </si>
  <si>
    <t>E22: "Account Number must be numeric" for each attempt</t>
  </si>
  <si>
    <t>TC_DA_008</t>
  </si>
  <si>
    <t>Each value is rejected with E22 or E24; nothing is deleted</t>
  </si>
  <si>
    <t>TC_DA_009</t>
  </si>
  <si>
    <t>Account Number: does not exist (DA3)</t>
  </si>
  <si>
    <t>Account of another Manager (DA4)</t>
  </si>
  <si>
    <t>Verify a Manager cannot delete another Manager's account</t>
  </si>
  <si>
    <t>1. A second Manager account exists (Manager 2) and owns customer/account that are NOT associated with Manager 1
2. Logged in as Manager 1
3. Delete Account page is open</t>
  </si>
  <si>
    <t>E44 is displayed; the account is not deleted</t>
  </si>
  <si>
    <t>TC_DA_011</t>
  </si>
  <si>
    <t>Account with positive balance (DA5)</t>
  </si>
  <si>
    <t>Verify an account with money cannot be deleted</t>
  </si>
  <si>
    <t>1. Logged in as Manager
2. Account 185657 has a balance greater than 0
3. Delete Account page is open</t>
  </si>
  <si>
    <t>1. Enter the Account Number
2. Click Delete
3. Confirm (if shown)</t>
  </si>
  <si>
    <t>Account Number: 185657 (balance 1000.00) ◄</t>
  </si>
  <si>
    <t>E53: "Account balance must be zero to delete"; the account remains</t>
  </si>
  <si>
    <t>TC_DA_012</t>
  </si>
  <si>
    <t>Account with balance 0.01 (BVA)</t>
  </si>
  <si>
    <t>Verify the smallest positive balance blocks deletion</t>
  </si>
  <si>
    <t>1. Logged in as Manager
2. An account with balance 0.01 exists (set up with deposits/withdrawals)
3. Delete Account page is open</t>
  </si>
  <si>
    <t>Account Number: an account with balance 0.01 (not available, see Test Data Setup) ◄</t>
  </si>
  <si>
    <t>E53 is displayed; the account remains</t>
  </si>
  <si>
    <t>TC_DA_013</t>
  </si>
  <si>
    <t>Zero balance but existing transactions</t>
  </si>
  <si>
    <t>Verify the conflict between DA5 and RESTRICT DELETE (SRS 3.8.3)</t>
  </si>
  <si>
    <t>1. Logged in as Manager
2. An account with transactions and balance 0.00 exists (not available, see Test Data Setup)
3. Delete Account page is open</t>
  </si>
  <si>
    <t>Document the actual behavior: DA5 allows deletion at zero balance, while 3.8.3 forbids deleting an account with transactions</t>
  </si>
  <si>
    <t>TC_DP_001</t>
  </si>
  <si>
    <t>Deposit with valid data</t>
  </si>
  <si>
    <t>Verify a deposit is processed</t>
  </si>
  <si>
    <t>1. Logged in as Manager
2. Account 185657 exists with a known balance B and is associated with this Manager
3. Deposit page is open</t>
  </si>
  <si>
    <t>Account Number: 185657
Amount: 500
Description: Salary deposit</t>
  </si>
  <si>
    <t>Deposit succeeds; the updated balance (B + 500) and a Transaction ID are displayed</t>
  </si>
  <si>
    <t>After clicking Submit, the system redirected the manager to a "This page isn't working" error page.</t>
  </si>
  <si>
    <t>TC_DP_002</t>
  </si>
  <si>
    <t>Balance after deposit</t>
  </si>
  <si>
    <t>Verify the balance in Balance Enquiry</t>
  </si>
  <si>
    <t>1. Complete TC_DP_001
2. Open Balance Enquiry and enter 185657</t>
  </si>
  <si>
    <t>Account Number: 185657
Expected balance: B + 500</t>
  </si>
  <si>
    <t>Balance Enquiry shows B + 500</t>
  </si>
  <si>
    <t>TC_DP_003</t>
  </si>
  <si>
    <t>Deposit appears in Mini Statement</t>
  </si>
  <si>
    <t>Verify the transaction is recorded</t>
  </si>
  <si>
    <t>1. Complete TC_DP_001
2. Open Mini Statement and enter 185657</t>
  </si>
  <si>
    <t>The latest row shows the Transaction ID from TC_DP_001, Type Deposit, Amount 500, Description "Salary deposit" and Balance B + 500</t>
  </si>
  <si>
    <t>TC_DP_004</t>
  </si>
  <si>
    <t>Verify fields in SRS 3.1.8 exist</t>
  </si>
  <si>
    <t>1. Open the Deposit page
2. Review the form</t>
  </si>
  <si>
    <t>Account Number, Amount, Description (textarea), Submit and Reset are present</t>
  </si>
  <si>
    <t>TC_DP_005</t>
  </si>
  <si>
    <t>All fields are cleared and no error is displayed</t>
  </si>
  <si>
    <t>TC_DP_006</t>
  </si>
  <si>
    <t>Account Number: blank (DP1)</t>
  </si>
  <si>
    <t>Verify blank account is rejected</t>
  </si>
  <si>
    <t>Account Number: (empty) ◄
Amount: 500
Description: Salary deposit</t>
  </si>
  <si>
    <t>TC_DP_007</t>
  </si>
  <si>
    <t>Account Number: non-numeric (DP2)</t>
  </si>
  <si>
    <t>Account Number:
   [Attempt 1] ABC123
   [Attempt 2] 12@#45 ◄
Amount: 500
Description: Salary deposit</t>
  </si>
  <si>
    <t>TC_DP_008</t>
  </si>
  <si>
    <t>Account Number: does not exist (DP3)</t>
  </si>
  <si>
    <t>Account Number: 999999999999999 ◄
Amount: 500
Description: Salary deposit</t>
  </si>
  <si>
    <t>TC_DP_009</t>
  </si>
  <si>
    <t>Account of another Manager (DP4)</t>
  </si>
  <si>
    <t>Verify a Manager cannot deposit into another Manager's account</t>
  </si>
  <si>
    <t>1. A second Manager account exists (Manager 2) and owns customer/account that are NOT associated with Manager 1
2. Logged in as Manager 1
3. Deposit page is open</t>
  </si>
  <si>
    <t>Account Number: an account of a Manager 2 customer (number not recorded) ◄
Amount: 500
Description: Salary deposit</t>
  </si>
  <si>
    <t>E44 is displayed; no deposit is made</t>
  </si>
  <si>
    <t>TC_DP_010</t>
  </si>
  <si>
    <t>Amount: blank (DP5)</t>
  </si>
  <si>
    <t>Verify blank amount is rejected</t>
  </si>
  <si>
    <t>Account Number: 185657
Amount: (empty) ◄
Description: Salary deposit</t>
  </si>
  <si>
    <t>E39: "Amount must not be blank"</t>
  </si>
  <si>
    <t>TC_DP_011</t>
  </si>
  <si>
    <t>Amount: non-numeric (DP6)</t>
  </si>
  <si>
    <t>Account Number: 185657
Amount:
   [Attempt 1] abc
   [Attempt 2] 50@0
   [Attempt 3] 5 00 ◄
Description: Salary deposit</t>
  </si>
  <si>
    <t>E40: "Amount must be numeric" for each attempt</t>
  </si>
  <si>
    <t>TC_DP_012</t>
  </si>
  <si>
    <t>Amount: zero (DP7)</t>
  </si>
  <si>
    <t>Account Number: 185657
Amount: 0 ◄
Description: Salary deposit</t>
  </si>
  <si>
    <t>An error is displayed (SRS lists a "Custom error"); the balance is unchanged</t>
  </si>
  <si>
    <t>TC_DP_013</t>
  </si>
  <si>
    <t>Amount: negative</t>
  </si>
  <si>
    <t>Account Number: 185657
Amount: -100 ◄
Description: Salary deposit</t>
  </si>
  <si>
    <t>The deposit is rejected and the balance is not reduced</t>
  </si>
  <si>
    <t>TC_DP_014</t>
  </si>
  <si>
    <t>Amount: smallest positive value (BVA)</t>
  </si>
  <si>
    <t>Verify 0.01 is handled</t>
  </si>
  <si>
    <t>Account Number: 185657
Amount: 0.01 ◄
Description: Salary deposit</t>
  </si>
  <si>
    <t>Deposit succeeds and the balance increases by 0.01, or a clear error is shown (SRS does not define decimals)</t>
  </si>
  <si>
    <t>TC_DP_015</t>
  </si>
  <si>
    <t>Amount: decimal</t>
  </si>
  <si>
    <t>Verify a decimal amount is handled exactly</t>
  </si>
  <si>
    <t>Account Number: 185657
Amount: 100.50 ◄
Description: Salary deposit</t>
  </si>
  <si>
    <t>The balance increases by exactly 100.50</t>
  </si>
  <si>
    <t>TC_DP_016</t>
  </si>
  <si>
    <t>Amount: three decimals</t>
  </si>
  <si>
    <t>Account Number: 185657
Amount: 100.555 ◄
Description: Salary deposit</t>
  </si>
  <si>
    <t>The value is rejected, or rounded consistently to 2 decimals</t>
  </si>
  <si>
    <t>TC_DP_017</t>
  </si>
  <si>
    <t>Amount: very large value</t>
  </si>
  <si>
    <t>Account Number: 185657
Amount: 99999999999999999999 (20 digits) ◄
Description: Salary deposit</t>
  </si>
  <si>
    <t>A clear error is displayed; no crash, no stack trace and the balance is unchanged</t>
  </si>
  <si>
    <t>TC_DP_018</t>
  </si>
  <si>
    <t>Description: blank (DP8)</t>
  </si>
  <si>
    <t>Verify blank description is rejected</t>
  </si>
  <si>
    <t>Account Number: 185657
Amount: 500
Description: (empty) ◄</t>
  </si>
  <si>
    <t>E41: "Description must not be blank"</t>
  </si>
  <si>
    <t>TC_DP_019</t>
  </si>
  <si>
    <t>Description: max length 200 (BVA)</t>
  </si>
  <si>
    <t>Account Number: 185657
Amount: 500
Description:
   [Attempt 1] Payment note 12 Payment note 12 Payment note 12 Payment note 12 Payment note 12 Payment note 12 Payment note 12 Payment note 12 Payment note 12 Payment note 12 Payment note 12 Payment note 12 Payment (200 characters)
   [Attempt 2] Payment note 12 Payment note 12 Payment note 12 Payment note 12 Payment note 12 Payment note 12 Payment note 12 Payment note 12 Payment note 12 Payment note 12 Payment note 12 Payment note 12 Payment X (201 characters) ◄</t>
  </si>
  <si>
    <t>The Description field accepts a maximum of 10 characters.</t>
  </si>
  <si>
    <t>TC_DP_020</t>
  </si>
  <si>
    <t>Description: special characters</t>
  </si>
  <si>
    <t>Verify common punctuation is accepted</t>
  </si>
  <si>
    <t>Account Number: 185657
Amount: 500
Description: Salary &amp; bonus - Oct #2 (50%) ◄</t>
  </si>
  <si>
    <t>Deposit succeeds and the description is stored exactly (SRS does not restrict characters)</t>
  </si>
  <si>
    <t>TC_DP_021</t>
  </si>
  <si>
    <t>Description: XSS input</t>
  </si>
  <si>
    <t>Account Number: 185657
Amount: 500
Description: &lt;script&gt;alert('x')&lt;/script&gt; ◄</t>
  </si>
  <si>
    <t>No script is executed on the result page or in Mini Statement; the text is rejected or displayed as plain text</t>
  </si>
  <si>
    <t>The script could not be entered because the Description field accepts only 10 characters.</t>
  </si>
  <si>
    <t>TC_DP_022</t>
  </si>
  <si>
    <t>Consecutive deposits</t>
  </si>
  <si>
    <t>Verify balances accumulate correctly</t>
  </si>
  <si>
    <t>1. Deposit 100 into 185657
2. Deposit 200 into 185657</t>
  </si>
  <si>
    <t>Deposit 1: 100
Deposit 2: 200
Account Number: 185657</t>
  </si>
  <si>
    <t>After both deposits the balance is B + 300 and each deposit shows its own updated balance</t>
  </si>
  <si>
    <t>TC_DP_023</t>
  </si>
  <si>
    <t>Unique Transaction IDs</t>
  </si>
  <si>
    <t>Verify each deposit gets a different ID</t>
  </si>
  <si>
    <t>1. Compare the Transaction IDs shown for consecutive deposits</t>
  </si>
  <si>
    <t>Transaction IDs from the two deposits of TC_DP_022</t>
  </si>
  <si>
    <t>Every deposit has a different Transaction ID</t>
  </si>
  <si>
    <t>TC_DP_024</t>
  </si>
  <si>
    <t>Other accounts are not affected</t>
  </si>
  <si>
    <t>Verify only the target account changes</t>
  </si>
  <si>
    <t>1. Note 185658's balance
2. Deposit into 185657
3. Check 185658's balance</t>
  </si>
  <si>
    <t>Account Number: 185657
Other account: 185658 (balance noted before)</t>
  </si>
  <si>
    <t>185658's balance is unchanged after a deposit into 185657</t>
  </si>
  <si>
    <t>TC_DP_025</t>
  </si>
  <si>
    <t>Account Number: (empty) ◄
Amount: (empty) ◄
Description: (empty) ◄</t>
  </si>
  <si>
    <t>E21, E39 and E41 are displayed; nothing is deposited</t>
  </si>
  <si>
    <t>TC_DP_026</t>
  </si>
  <si>
    <t>Verify a double click does not deposit twice</t>
  </si>
  <si>
    <t>Only one deposit is processed (balance increases by 500 once)</t>
  </si>
  <si>
    <t>TC_DP_027</t>
  </si>
  <si>
    <t>SQL injection in Amount</t>
  </si>
  <si>
    <t>Account Number: 185657
Amount: 100' OR '1'='1 ◄
Description: Salary deposit</t>
  </si>
  <si>
    <t>E40 is displayed; no database error is shown</t>
  </si>
  <si>
    <t>TC_WD_001</t>
  </si>
  <si>
    <t>Withdrawal with valid data</t>
  </si>
  <si>
    <t>Verify a withdrawal is processed</t>
  </si>
  <si>
    <t>1. Logged in as Manager
2. Account 185657 exists with a known balance B (at least 1000) and is associated with this Manager
3. Withdrawal page is open</t>
  </si>
  <si>
    <t>Account Number: 185657
Amount: 200
Description: ATM withdrawal</t>
  </si>
  <si>
    <t>Withdrawal succeeds and the balance becomes B − 200</t>
  </si>
  <si>
    <t>TC_WD_002</t>
  </si>
  <si>
    <t>Balance after withdrawal</t>
  </si>
  <si>
    <t>1. Complete TC_WD_001
2. Open Balance Enquiry and enter 185657</t>
  </si>
  <si>
    <t>Account Number: 185657
Expected balance: B − 200</t>
  </si>
  <si>
    <t>Balance Enquiry shows B − 200</t>
  </si>
  <si>
    <t>TC_WD_003</t>
  </si>
  <si>
    <t>Withdrawal appears in Mini Statement</t>
  </si>
  <si>
    <t>1. Complete TC_WD_001
2. Open Mini Statement and enter 185657</t>
  </si>
  <si>
    <t>The latest row shows Type Withdrawal, Amount 200, Description "ATM withdrawal" and Balance B − 200</t>
  </si>
  <si>
    <t>The system redirected the manager to an empty white page.</t>
  </si>
  <si>
    <t>TC_WD_004</t>
  </si>
  <si>
    <t>Verify fields in SRS 3.1.9 exist</t>
  </si>
  <si>
    <t>1. Open the Withdrawal page
2. Review the form</t>
  </si>
  <si>
    <t>TC_WD_005</t>
  </si>
  <si>
    <t>TC_WD_006</t>
  </si>
  <si>
    <t>Amount equal to balance (BVA)</t>
  </si>
  <si>
    <t>Verify the full balance can be withdrawn</t>
  </si>
  <si>
    <t>Account Number: 185657
Amount: B (current balance of 185657) ◄
Description: ATM withdrawal</t>
  </si>
  <si>
    <t>Withdrawal succeeds and the balance becomes 0.00 (SRS: amount &lt;= balance)</t>
  </si>
  <si>
    <t>After clicking Submit, the system did not show whether the withdrawal succeeded or failed.</t>
  </si>
  <si>
    <t>TC_WD_007</t>
  </si>
  <si>
    <t>Amount equal to balance minus 1 (BVA)</t>
  </si>
  <si>
    <t>Verify a value just below the balance is accepted</t>
  </si>
  <si>
    <t>Account Number: 185657
Amount: B − 1 ◄
Description: ATM withdrawal</t>
  </si>
  <si>
    <t>Withdrawal succeeds and the balance becomes 1.00</t>
  </si>
  <si>
    <t>TC_WD_008</t>
  </si>
  <si>
    <t>Amount equal to balance plus 1 (BVA)</t>
  </si>
  <si>
    <t>Verify a value just above the balance is rejected (WD8)</t>
  </si>
  <si>
    <t>Account Number: 185657
Amount: B + 1 ◄
Description: ATM withdrawal</t>
  </si>
  <si>
    <t>E42: "Insufficient balance in source account"; the balance is unchanged</t>
  </si>
  <si>
    <t>TC_WD_009</t>
  </si>
  <si>
    <t>Withdrawal from zero-balance account</t>
  </si>
  <si>
    <t>Verify no withdrawal is possible at zero</t>
  </si>
  <si>
    <t>1. Logged in as Manager
2. An account with balance 0.00 exists (not available, see Test Data Setup)
3. Withdrawal page is open</t>
  </si>
  <si>
    <t>Account Number: an account with balance 0.00 (not available, see Test Data Setup)
Amount: 1 ◄
Description: ATM withdrawal</t>
  </si>
  <si>
    <t>E42 is displayed; the balance stays 0.00</t>
  </si>
  <si>
    <t>TC_WD_010</t>
  </si>
  <si>
    <t>Balance never becomes negative</t>
  </si>
  <si>
    <t>Verify a further withdrawal after a full withdrawal is rejected</t>
  </si>
  <si>
    <t>1. Logged in as Manager
2. Account 185657 was emptied in TC_WD_006
3. Withdrawal page is open</t>
  </si>
  <si>
    <t>Account Number: 185657 (emptied in TC_WD_006)
Amount: 0.01 ◄
Description: ATM withdrawal</t>
  </si>
  <si>
    <t>E42 is displayed; the balance remains 0.00 (DB CHECK balance &gt;= 0)</t>
  </si>
  <si>
    <t>TC_WD_011</t>
  </si>
  <si>
    <t>Failed withdrawal is not recorded</t>
  </si>
  <si>
    <t>Verify a rejected withdrawal leaves no transaction</t>
  </si>
  <si>
    <t>1. After TC_WD_008 open Mini Statement for 185657</t>
  </si>
  <si>
    <t>Mini Statement shows no row for the rejected withdrawal of TC_WD_008</t>
  </si>
  <si>
    <t>TC_WD_012</t>
  </si>
  <si>
    <t>Account Number: blank (WD1)</t>
  </si>
  <si>
    <t>Account Number: (empty) ◄
Amount: 200
Description: ATM withdrawal</t>
  </si>
  <si>
    <t>TC_WD_013</t>
  </si>
  <si>
    <t>Account Number: non-numeric (WD2)</t>
  </si>
  <si>
    <t>Account Number:
   [Attempt 1] ABC123
   [Attempt 2] 12@#45 ◄
Amount: 200
Description: ATM withdrawal</t>
  </si>
  <si>
    <t>TC_WD_014</t>
  </si>
  <si>
    <t>Account Number: does not exist (WD3)</t>
  </si>
  <si>
    <t>Account Number: 999999999999999 ◄
Amount: 200
Description: ATM withdrawal</t>
  </si>
  <si>
    <t>TC_WD_015</t>
  </si>
  <si>
    <t>Account of another Manager (WD4)</t>
  </si>
  <si>
    <t>Verify a Manager cannot withdraw from another Manager's account</t>
  </si>
  <si>
    <t>1. A second Manager account exists (Manager 2) and owns customer/account that are NOT associated with Manager 1
2. Logged in as Manager 1
3. Withdrawal page is open</t>
  </si>
  <si>
    <t>Account Number: an account of a Manager 2 customer (number not recorded) ◄
Amount: 200
Description: ATM withdrawal</t>
  </si>
  <si>
    <t>E44 is displayed; no withdrawal is made</t>
  </si>
  <si>
    <t>TC_WD_016</t>
  </si>
  <si>
    <t>Amount: blank (WD5)</t>
  </si>
  <si>
    <t>Account Number: 185657
Amount: (empty) ◄
Description: ATM withdrawal</t>
  </si>
  <si>
    <t>TC_WD_017</t>
  </si>
  <si>
    <t>Amount: non-numeric (WD6)</t>
  </si>
  <si>
    <t>Account Number: 185657
Amount:
   [Attempt 1] abc
   [Attempt 2] 50@0
   [Attempt 3] 5 00 ◄
Description: ATM withdrawal</t>
  </si>
  <si>
    <t>TC_WD_018</t>
  </si>
  <si>
    <t>Amount: zero (WD7)</t>
  </si>
  <si>
    <t>Account Number: 185657
Amount: 0 ◄
Description: ATM withdrawal</t>
  </si>
  <si>
    <t>TC_WD_019</t>
  </si>
  <si>
    <t>Account Number: 185657
Amount: -100 ◄
Description: ATM withdrawal</t>
  </si>
  <si>
    <t>The withdrawal is rejected and the balance does NOT increase</t>
  </si>
  <si>
    <t>TC_WD_020</t>
  </si>
  <si>
    <t>Account Number: 185657
Amount: 100.50 ◄
Description: ATM withdrawal</t>
  </si>
  <si>
    <t>The balance decreases by exactly 100.50</t>
  </si>
  <si>
    <t>TC_WD_021</t>
  </si>
  <si>
    <t>Account Number: 185657
Amount: 100.555 ◄
Description: ATM withdrawal</t>
  </si>
  <si>
    <t>TC_WD_022</t>
  </si>
  <si>
    <t>Account Number: 185657
Amount: 99999999999999999999 (20 digits) ◄
Description: ATM withdrawal</t>
  </si>
  <si>
    <t>E42 or a clear error is displayed; no crash, no stack trace and the balance is unchanged</t>
  </si>
  <si>
    <t>The message "Transaction Failed. Account Balance Low!!!" was displayed.</t>
  </si>
  <si>
    <t>TC_WD_023</t>
  </si>
  <si>
    <t>Description: blank (WD9)</t>
  </si>
  <si>
    <t>Account Number: 185657
Amount: 200
Description: (empty) ◄</t>
  </si>
  <si>
    <t>TC_WD_024</t>
  </si>
  <si>
    <t>Account Number: 185657
Amount: 200
Description:
   [Attempt 1] Payment note 12 Payment note 12 Payment note 12 Payment note 12 Payment note 12 Payment note 12 Payment note 12 Payment note 12 Payment note 12 Payment note 12 Payment note 12 Payment note 12 Payment (200 characters)
   [Attempt 2] Payment note 12 Payment note 12 Payment note 12 Payment note 12 Payment note 12 Payment note 12 Payment note 12 Payment note 12 Payment note 12 Payment note 12 Payment note 12 Payment note 12 Payment X (201 characters) ◄</t>
  </si>
  <si>
    <t>TC_WD_025</t>
  </si>
  <si>
    <t>Account Number: 185657
Amount: 200
Description: &lt;script&gt;alert('x')&lt;/script&gt; ◄</t>
  </si>
  <si>
    <t>No script is executed on the result page or in Mini Statement</t>
  </si>
  <si>
    <t>TC_WD_026</t>
  </si>
  <si>
    <t>Consecutive withdrawals</t>
  </si>
  <si>
    <t>Verify balances decrease correctly</t>
  </si>
  <si>
    <t>1. Withdraw 100 from 185657
2. Withdraw 150 from 185657</t>
  </si>
  <si>
    <t>Withdrawal 1: 100
Withdrawal 2: 150
Account Number: 185657</t>
  </si>
  <si>
    <t>After both withdrawals the balance is B − 250</t>
  </si>
  <si>
    <t>TC_WD_027</t>
  </si>
  <si>
    <t>E21, E39 and E41 are displayed; nothing is withdrawn</t>
  </si>
  <si>
    <t>TC_WD_028</t>
  </si>
  <si>
    <t>Verify a double click does not withdraw twice</t>
  </si>
  <si>
    <t>Only one withdrawal is processed (balance decreases by 200 once)</t>
  </si>
  <si>
    <t>TC_WD_029</t>
  </si>
  <si>
    <t>Account Number: 185657
Amount: 100' OR '1'='1 ◄
Description: ATM withdrawal</t>
  </si>
  <si>
    <t>TC_FT_001</t>
  </si>
  <si>
    <t>[Manager] Valid transfer between two accounts</t>
  </si>
  <si>
    <t>Verify a transfer is processed</t>
  </si>
  <si>
    <t>1. Logged in as Manager
2. Payer account 185671 (balance B1) is associated with this Manager and payee account 185672 (balance B2) exists
3. Fund Transfer page is open</t>
  </si>
  <si>
    <t>Payer Account: 185671
Payee Account: 185672
Amount: 100
Description: Rent payment</t>
  </si>
  <si>
    <t>Transfer succeeds; 185671 becomes B1 − 100 and 185672 becomes B2 + 100; a confirmation is displayed</t>
  </si>
  <si>
    <t>After clicking Submit, the system redirected the manager to an empty page showing only the "Fund transfer details" title; no success or error message was displayed.</t>
  </si>
  <si>
    <t>TC_FT_002</t>
  </si>
  <si>
    <t>[Manager] Balances verified in Balance Enquiry</t>
  </si>
  <si>
    <t>Verify both balances after the transfer</t>
  </si>
  <si>
    <t>1. Complete TC_FT_001
2. Check 185671 and 185672 in Balance Enquiry</t>
  </si>
  <si>
    <t>Payer Account: 185671 (expected balance: B1 − 100)
Payee Account: 185672 (expected balance: B2 + 100)</t>
  </si>
  <si>
    <t>Balance Enquiry shows the expected balance for both accounts</t>
  </si>
  <si>
    <t>TC_FT_003</t>
  </si>
  <si>
    <t>[Manager] Transfer appears in both Mini Statements</t>
  </si>
  <si>
    <t>Verify both sides are recorded</t>
  </si>
  <si>
    <t>1. Complete TC_FT_001
2. Open Mini Statement for 185671 and 185672</t>
  </si>
  <si>
    <t>Payer Account: 185671
Payee Account: 185672</t>
  </si>
  <si>
    <t>Both statements show a Transfer of 100 with the description "Rent payment" and the correct balance after the transaction</t>
  </si>
  <si>
    <t>TC_FT_004</t>
  </si>
  <si>
    <t>[Manager] Total money is conserved</t>
  </si>
  <si>
    <t>Verify no money is created or lost</t>
  </si>
  <si>
    <t>1. Note B1 and B2
2. Complete TC_FT_001
3. Compare the sums</t>
  </si>
  <si>
    <t>Sum before: B1 + B2
Sum after: 185671 + 185672</t>
  </si>
  <si>
    <t>The sum of both balances is the same before and after the transfer</t>
  </si>
  <si>
    <t>TC_FT_005</t>
  </si>
  <si>
    <t>[Manager] Amount equal to payer balance (BVA)</t>
  </si>
  <si>
    <t>Verify the full balance can be transferred</t>
  </si>
  <si>
    <t>Payer Account: 185671
Payee Account: 185672
Amount: B1 (payer balance) ◄
Description: Rent payment</t>
  </si>
  <si>
    <t>Transfer succeeds and the payer balance becomes 0.00</t>
  </si>
  <si>
    <t>TC_FT_006</t>
  </si>
  <si>
    <t>[Manager] Amount greater than payer balance (FT10)</t>
  </si>
  <si>
    <t>Verify insufficient balance is rejected</t>
  </si>
  <si>
    <t>Payer Account: 185671
Payee Account: 185672
Amount: B1 + 1 ◄
Description: Rent payment</t>
  </si>
  <si>
    <t>E42: "Insufficient balance in source account"; neither balance changes</t>
  </si>
  <si>
    <t>TC_FT_007</t>
  </si>
  <si>
    <t>[Manager] Payer and payee are the same (FT7)</t>
  </si>
  <si>
    <t>Verify a self-transfer is rejected</t>
  </si>
  <si>
    <t>Payer Account: 185671 ◄
Payee Account: 185671 (same as payer) ◄
Amount: 100
Description: Rent payment</t>
  </si>
  <si>
    <t>E43: "Source and destination accounts cannot be same"</t>
  </si>
  <si>
    <t>The message "Payers account No and Payees account No Must Not be Same!!!" was displayed.</t>
  </si>
  <si>
    <t>TC_FT_008</t>
  </si>
  <si>
    <t>[Manager] Payer Account: blank (FT1)</t>
  </si>
  <si>
    <t>Verify blank payer is rejected</t>
  </si>
  <si>
    <t>Payer Account: (empty) ◄
Payee Account: 185672
Amount: 100
Description: Rent payment</t>
  </si>
  <si>
    <t>E37: "Payer Account Number must not be blank"</t>
  </si>
  <si>
    <t>TC_FT_009</t>
  </si>
  <si>
    <t>[Manager] Payee Account: blank (FT4)</t>
  </si>
  <si>
    <t>Verify blank payee is rejected</t>
  </si>
  <si>
    <t>Payer Account: 185671
Payee Account: (empty) ◄
Amount: 100
Description: Rent payment</t>
  </si>
  <si>
    <t>E38: "Payee Account Number must not be blank"</t>
  </si>
  <si>
    <t>TC_FT_010</t>
  </si>
  <si>
    <t>[Manager] All fields blank</t>
  </si>
  <si>
    <t>Payer Account: (empty) ◄
Payee Account: (empty) ◄
Amount: (empty) ◄
Description: (empty) ◄</t>
  </si>
  <si>
    <t>E37, E38, E39 and E41 are displayed; nothing is transferred</t>
  </si>
  <si>
    <t>TC_FT_011</t>
  </si>
  <si>
    <t>[Manager] Payer Account: non-numeric (FT2)</t>
  </si>
  <si>
    <t>Payer Account:
   [Attempt 1] ABC123
   [Attempt 2] 12@#45 ◄
Payee Account: 185672
Amount: 100
Description: Rent payment</t>
  </si>
  <si>
    <t>TC_FT_012</t>
  </si>
  <si>
    <t>[Manager] Payee Account: non-numeric (FT5)</t>
  </si>
  <si>
    <t>Payer Account: 185671
Payee Account:
   [Attempt 1] ABC123
   [Attempt 2] 12@#45 ◄
Amount: 100
Description: Rent payment</t>
  </si>
  <si>
    <t>TC_FT_013</t>
  </si>
  <si>
    <t>[Manager] Payer Account: does not exist (FT3)</t>
  </si>
  <si>
    <t>Verify an unknown payer is rejected</t>
  </si>
  <si>
    <t>Payer Account: 999999999999999 ◄
Payee Account: 185672
Amount: 100
Description: Rent payment</t>
  </si>
  <si>
    <t>TC_FT_014</t>
  </si>
  <si>
    <t>[Manager] Payee Account: does not exist (FT6)</t>
  </si>
  <si>
    <t>Verify an unknown payee is rejected</t>
  </si>
  <si>
    <t>Payer Account: 185671
Payee Account: 999999999999999 ◄
Amount: 100
Description: Rent payment</t>
  </si>
  <si>
    <t>E24: "Account Number not found"; the payer balance is not reduced</t>
  </si>
  <si>
    <t>TC_FT_015</t>
  </si>
  <si>
    <t>[Manager] Amount: blank (FT8)</t>
  </si>
  <si>
    <t>Payer Account: 185671
Payee Account: 185672
Amount: (empty) ◄
Description: Rent payment</t>
  </si>
  <si>
    <t>TC_FT_016</t>
  </si>
  <si>
    <t>[Manager] Amount: non-numeric (FT9)</t>
  </si>
  <si>
    <t>Payer Account: 185671
Payee Account: 185672
Amount:
   [Attempt 1] abc
   [Attempt 2] 50@0
   [Attempt 3] 5 00 ◄
Description: Rent payment</t>
  </si>
  <si>
    <t>TC_FT_017</t>
  </si>
  <si>
    <t>[Manager] Amount: zero</t>
  </si>
  <si>
    <t>Verify zero is rejected (SRS 3.1.10: amount &gt; 0)</t>
  </si>
  <si>
    <t>Payer Account: 185671
Payee Account: 185672
Amount: 0 ◄
Description: Rent payment</t>
  </si>
  <si>
    <t>The transfer is rejected with an error; no balance changes (no error code defined in the SRS)</t>
  </si>
  <si>
    <t>TC_FT_018</t>
  </si>
  <si>
    <t>[Manager] Amount: negative</t>
  </si>
  <si>
    <t>Verify a negative amount cannot reverse the transfer direction</t>
  </si>
  <si>
    <t>Payer Account: 185671
Payee Account: 185672
Amount: -100 ◄
Description: Rent payment</t>
  </si>
  <si>
    <t>The transfer is rejected; 185671 does NOT gain money and 185672 does NOT lose money</t>
  </si>
  <si>
    <t>TC_FT_019</t>
  </si>
  <si>
    <t>[Manager] Amount: decimal</t>
  </si>
  <si>
    <t>Payer Account: 185671
Payee Account: 185672
Amount: 100.50 ◄
Description: Rent payment</t>
  </si>
  <si>
    <t>185671 decreases and 185672 increases by exactly 100.50</t>
  </si>
  <si>
    <t>TC_FT_020</t>
  </si>
  <si>
    <t>[Manager] Amount: three decimals</t>
  </si>
  <si>
    <t>Payer Account: 185671
Payee Account: 185672
Amount: 100.555 ◄
Description: Rent payment</t>
  </si>
  <si>
    <t>The value is rejected, or rounded consistently on both accounts</t>
  </si>
  <si>
    <t>TC_FT_021</t>
  </si>
  <si>
    <t>[Manager] Description: blank (FT11)</t>
  </si>
  <si>
    <t>Payer Account: 185671
Payee Account: 185672
Amount: 100
Description: (empty) ◄</t>
  </si>
  <si>
    <t>TC_FT_022</t>
  </si>
  <si>
    <t>[Manager] Description: max length (BVA)</t>
  </si>
  <si>
    <t>Verify long descriptions are handled</t>
  </si>
  <si>
    <t>Payer Account: 185671
Payee Account: 185672
Amount: 100
Description:
   [Attempt 1] Payment note 12 Payment note 12 Payment note 12 Payment note 12 Payment note 12 Payment note 12 Payment note 12 Payment note 12 Payment note 12 Payment note 12 Payment note 12 Payment note 12 Payment (200 characters)
   [Attempt 2] Payment note 12 Payment note 12 Payment note 12 Payment note 12 Payment note 12 Payment note 12 Payment note 12 Payment note 12 Payment note 12 Payment note 12 Payment note 12 Payment note 12 Payment X (201 characters) ◄</t>
  </si>
  <si>
    <t>200 characters are accepted; the 201st is rejected or truncated (SRS defines no limit; DB column is 200)</t>
  </si>
  <si>
    <t>The Description field accepts a maximum of 20 characters.</t>
  </si>
  <si>
    <t>TC_FT_023</t>
  </si>
  <si>
    <t>[Manager] Payer of another Manager (FT13)</t>
  </si>
  <si>
    <t>Verify a Manager cannot transfer from another Manager's account</t>
  </si>
  <si>
    <t>1. A second Manager account exists (Manager 2) and owns customer/account that are NOT associated with Manager 1
2. Logged in as Manager 1
3. Fund Transfer page is open</t>
  </si>
  <si>
    <t>Payer Account: an account of a Manager 2 customer (number not recorded) ◄
Payee Account: 185672
Amount: 100
Description: Rent payment</t>
  </si>
  <si>
    <t>E44 is displayed; no money moves</t>
  </si>
  <si>
    <t>TC_FT_024</t>
  </si>
  <si>
    <t>[Manager] Payee of another Manager</t>
  </si>
  <si>
    <t>Verify a transfer to another Manager's account (SRS 3.1.10: any accounts)</t>
  </si>
  <si>
    <t>Payer Account: 185671
Payee Account: an account of a Manager 2 customer (number not recorded) ◄
Amount: 100
Description: Rent payment</t>
  </si>
  <si>
    <t>Transfer succeeds because the Manager may transfer to any account (document the actual behavior)</t>
  </si>
  <si>
    <t>TC_FT_025</t>
  </si>
  <si>
    <t>[Manager] Payer with zero balance</t>
  </si>
  <si>
    <t>Verify a transfer from an empty account is rejected</t>
  </si>
  <si>
    <t>Payer Account: an account with balance 0.00 (not available, see Test Data Setup) ◄
Payee Account: 185672
Amount: 1 ◄
Description: Rent payment</t>
  </si>
  <si>
    <t>E42 is displayed; no balance changes</t>
  </si>
  <si>
    <t>TC_FT_026</t>
  </si>
  <si>
    <t>[Manager] Transfer to a deleted account</t>
  </si>
  <si>
    <t>Verify a deleted payee is rejected</t>
  </si>
  <si>
    <t>Payer Account: 185671
Payee Account: an account deleted earlier (not available, see Test Data Setup) ◄
Amount: 100
Description: Rent payment</t>
  </si>
  <si>
    <t>E24 is displayed; the payer balance is not reduced</t>
  </si>
  <si>
    <t>TC_FT_027</t>
  </si>
  <si>
    <t>[Manager] Reset button</t>
  </si>
  <si>
    <t>TC_FT_028</t>
  </si>
  <si>
    <t>[Manager] Form fields and buttons</t>
  </si>
  <si>
    <t>Verify fields in SRS 3.1.10 exist</t>
  </si>
  <si>
    <t>1. Open the Fund Transfer page
2. Review the form</t>
  </si>
  <si>
    <t>Payer Account, Payee Account, Amount, Description (textarea), Submit and Reset are present</t>
  </si>
  <si>
    <t>TC_FT_029</t>
  </si>
  <si>
    <t>[Manager] Double submission</t>
  </si>
  <si>
    <t>Verify a double click does not transfer twice</t>
  </si>
  <si>
    <t>Only one transfer is processed (100 moves once)</t>
  </si>
  <si>
    <t>TC_FT_030</t>
  </si>
  <si>
    <t>[Manager] Description: XSS input</t>
  </si>
  <si>
    <t>Payer Account: 185671
Payee Account: 185672
Amount: 100
Description: &lt;script&gt;alert('x')&lt;/script&gt; ◄</t>
  </si>
  <si>
    <t>The script could not be entered because the Description field is shorter than the script.</t>
  </si>
  <si>
    <t>TC_FT_031</t>
  </si>
  <si>
    <t>[Manager] SQL injection in Amount</t>
  </si>
  <si>
    <t>Payer Account: 185671
Payee Account: 185672
Amount: 100' OR '1'='1 ◄
Description: Rent payment</t>
  </si>
  <si>
    <t>TC_BE_001</t>
  </si>
  <si>
    <t>[Manager] Balance of an associated account</t>
  </si>
  <si>
    <t>Verify balance and account details are displayed</t>
  </si>
  <si>
    <t>1. Logged in as Manager
2. Account 185674 exists and is associated with this Manager
3. Balance Enquiry page is open</t>
  </si>
  <si>
    <t>1. Enter the Account Number from Test data
2. Click Submit</t>
  </si>
  <si>
    <t>Account Number: 185674 ◄</t>
  </si>
  <si>
    <t>Current Balance and account details (Account Number, Customer ID, Account Type) are displayed ("Account Details" content is not defined in the SRS)</t>
  </si>
  <si>
    <t>TC_BE_002</t>
  </si>
  <si>
    <t>[Customer] Balance of own account</t>
  </si>
  <si>
    <t>Verify a Customer can view own balance</t>
  </si>
  <si>
    <t>1. Logged in as a Customer who owns account 185674
2. Balance Enquiry page is open</t>
  </si>
  <si>
    <t>Current Balance and account details are displayed</t>
  </si>
  <si>
    <t>TC_BE_003</t>
  </si>
  <si>
    <t>[Customer] Two accounts show their own balances</t>
  </si>
  <si>
    <t>Verify each account returns its own balance</t>
  </si>
  <si>
    <t>1. Logged in as a Customer who owns two accounts
2. Balance Enquiry page is open</t>
  </si>
  <si>
    <t>Account Number:
   [Attempt 1] 185674
   [Attempt 2] the second account of the same customer (number not recorded) ◄</t>
  </si>
  <si>
    <t>Each attempt shows the balance of that account only</t>
  </si>
  <si>
    <t>TC_BE_004</t>
  </si>
  <si>
    <t>Balance after a deposit</t>
  </si>
  <si>
    <t>Verify the balance reflects a deposit</t>
  </si>
  <si>
    <t>1. Logged in as Manager
2. A deposit was made into account 185657 (TC_DP_001)
3. Balance Enquiry page is open</t>
  </si>
  <si>
    <t>1. Note the balance of account 185657
2. Deposit into account 185657 (TC_DP_001)
3. Run Balance Enquiry for account 185657</t>
  </si>
  <si>
    <t>Account Number: 185657 (account used in TC_DP_001)
Expected: B + deposit amount</t>
  </si>
  <si>
    <t>The balance equals the previous balance plus the deposit</t>
  </si>
  <si>
    <t>TC_BE_005</t>
  </si>
  <si>
    <t>Balance after a withdrawal</t>
  </si>
  <si>
    <t>Verify the balance reflects a withdrawal</t>
  </si>
  <si>
    <t>1. Logged in as Manager
2. A withdrawal was made from account 185657 (TC_WD_001)
3. Balance Enquiry page is open</t>
  </si>
  <si>
    <t>1. Note the balance of account 185657
2. Withdraw from account 185657 (TC_WD_001)
3. Run Balance Enquiry for account 185657</t>
  </si>
  <si>
    <t>Account Number: 185657 (account used in TC_WD_001)
Expected: B − withdrawal amount</t>
  </si>
  <si>
    <t>The balance equals the previous balance minus the withdrawal</t>
  </si>
  <si>
    <t>TC_BE_006</t>
  </si>
  <si>
    <t>Balance after a transfer</t>
  </si>
  <si>
    <t>Verify both balances reflect a transfer</t>
  </si>
  <si>
    <t>1. Logged in as Manager
2. A transfer was made between accounts 185671 and 185672 (TC_FT_001)
3. Balance Enquiry page is open</t>
  </si>
  <si>
    <t>1. Note both balances
2. Transfer between accounts 185671 and 185672 (TC_FT_001)
3. Run Balance Enquiry for both accounts</t>
  </si>
  <si>
    <t>Payer: 185671
Payee: 185672 (accounts used in TC_FT_001)</t>
  </si>
  <si>
    <t>Payer balance decreases and payee balance increases by the transferred amount</t>
  </si>
  <si>
    <t>Balance format</t>
  </si>
  <si>
    <t>Verify the balance is shown with two decimals</t>
  </si>
  <si>
    <t>Account Number: 185674</t>
  </si>
  <si>
    <t>Balance is shown with a consistent two-decimal format, e.g. 1000.00 (format not defined in the SRS)</t>
  </si>
  <si>
    <t>TC_BE_008</t>
  </si>
  <si>
    <t>Account Number: blank (BE1)</t>
  </si>
  <si>
    <t>TC_BE_009</t>
  </si>
  <si>
    <t>Account Number: non-numeric (BE2)</t>
  </si>
  <si>
    <t>TC_BE_010</t>
  </si>
  <si>
    <t>Each value is rejected with E22 or E24</t>
  </si>
  <si>
    <t>TC_BE_011</t>
  </si>
  <si>
    <t>Account Number: does not exist (BE3)</t>
  </si>
  <si>
    <t>TC_BE_012</t>
  </si>
  <si>
    <t>[Manager] Account of another Manager (BE5)</t>
  </si>
  <si>
    <t>Verify a Manager cannot view another Manager's account</t>
  </si>
  <si>
    <t>1. A second Manager account exists (Manager 2) and owns customer/account that are NOT associated with Manager 1
2. Logged in as Manager 1
3. Balance Enquiry page is open</t>
  </si>
  <si>
    <t>E44 is displayed; no balance is shown</t>
  </si>
  <si>
    <t>TC_BE_013</t>
  </si>
  <si>
    <t>[Customer] Account of another customer (BE4)</t>
  </si>
  <si>
    <t>Verify a Customer cannot view someone else's balance</t>
  </si>
  <si>
    <t>1. Logged in as a Customer
2. Balance Enquiry page is open</t>
  </si>
  <si>
    <t>Account Number: an account of customer 78692 (number not recorded) ◄</t>
  </si>
  <si>
    <t>E44: "Account does not belong to you"; no balance is shown</t>
  </si>
  <si>
    <t>TC_BE_014</t>
  </si>
  <si>
    <t>Balance Enquiry is read-only</t>
  </si>
  <si>
    <t>Verify enquiring does not change data</t>
  </si>
  <si>
    <t>1. Note the balance and Mini Statement
2. Run Balance Enquiry
3. Compare</t>
  </si>
  <si>
    <t>Balance and Mini Statement are identical before and after the enquiry (no transaction is created)</t>
  </si>
  <si>
    <t>TC_BE_015</t>
  </si>
  <si>
    <t>E22 is displayed; no data of other accounts is returned and no database error is shown</t>
  </si>
  <si>
    <t>TC_MS_001</t>
  </si>
  <si>
    <t>Account with more than 5 transactions</t>
  </si>
  <si>
    <t>Verify only the last 5 transactions are shown</t>
  </si>
  <si>
    <t>1. Logged in as Manager
2. Account 185674 has more than 5 transactions and is associated with this Manager
3. Mini Statement page is open</t>
  </si>
  <si>
    <t>Account Number: &lt;185674 ◄</t>
  </si>
  <si>
    <t>Exactly 5 transactions are displayed and they are the 5 most recent ones</t>
  </si>
  <si>
    <t>The system redirected the manager to an empty white page; no success or error message was displayed.</t>
  </si>
  <si>
    <t>TC_MS_002</t>
  </si>
  <si>
    <t>Statement columns</t>
  </si>
  <si>
    <t>Verify all columns of SRS 3.1.12 are displayed</t>
  </si>
  <si>
    <t>Transaction ID, Date, Type, Amount, Balance and Description are displayed for every row</t>
  </si>
  <si>
    <t>TC_MS_003</t>
  </si>
  <si>
    <t>Account with exactly 5 transactions</t>
  </si>
  <si>
    <t>Verify the boundary of 5</t>
  </si>
  <si>
    <t>1. Logged in as Manager
2. Account 185674 has exactly 5 transactions
3. Mini Statement page is open</t>
  </si>
  <si>
    <t>Account Number: 185674 (exactly 5 transactions) ◄</t>
  </si>
  <si>
    <t>All 5 transactions are displayed</t>
  </si>
  <si>
    <t>TC_MS_004</t>
  </si>
  <si>
    <t>Account with fewer than 5 transactions</t>
  </si>
  <si>
    <t>Verify all existing transactions are shown</t>
  </si>
  <si>
    <t>1. Logged in as Manager
2. Account 185674 has 1 to 4 transactions
3. Mini Statement page is open</t>
  </si>
  <si>
    <t>Account Number: 185674 (1 to 4 transactions) ◄</t>
  </si>
  <si>
    <t>All transactions are displayed with no blank or duplicate rows</t>
  </si>
  <si>
    <t>The system redirected the manager to an empty white page; no success or error message was displayed. The test could not be completed.</t>
  </si>
  <si>
    <t>TC_MS_005</t>
  </si>
  <si>
    <t>Account with no transactions (MS4)</t>
  </si>
  <si>
    <t>Verify the message for an account without transactions</t>
  </si>
  <si>
    <t>1. Logged in as Manager
2. An account with no recorded transaction exists (if the system allows it)
3. Mini Statement page is open</t>
  </si>
  <si>
    <t>Account Number: an account with no transactions (not available, see Test Data Setup) ◄</t>
  </si>
  <si>
    <t>An error/message is displayed (SRS lists a "Custom error"); it is unclear whether the initial deposit counts as a transaction</t>
  </si>
  <si>
    <t>TC_MS_006</t>
  </si>
  <si>
    <t>Transaction types</t>
  </si>
  <si>
    <t>Verify Deposit, Withdrawal and Transfer are labelled correctly</t>
  </si>
  <si>
    <t>1. Logged in as Manager
2. 185674 has at least one deposit, withdrawal and transfer
3. Mini Statement page is open</t>
  </si>
  <si>
    <t>Each row shows the right Type (Deposit, Withdrawal or Transfer)</t>
  </si>
  <si>
    <t>TC_MS_007</t>
  </si>
  <si>
    <t>Running balance is consistent</t>
  </si>
  <si>
    <t>Verify the Balance column</t>
  </si>
  <si>
    <t>For each row, Balance equals the previous row's Balance plus (Deposit) or minus (Withdrawal) the Amount; the latest Balance equals Balance Enquiry</t>
  </si>
  <si>
    <t>TC_MS_008</t>
  </si>
  <si>
    <t>Amount and description are correct</t>
  </si>
  <si>
    <t>Verify data matches what was entered</t>
  </si>
  <si>
    <t>Amount and Description of each row match the transaction made</t>
  </si>
  <si>
    <t>TC_MS_009</t>
  </si>
  <si>
    <t>Date and time</t>
  </si>
  <si>
    <t>Verify the timestamp</t>
  </si>
  <si>
    <t>Date shows the correct date and time of each transaction in a consistent format (format not defined in the SRS)</t>
  </si>
  <si>
    <t>TC_MS_010</t>
  </si>
  <si>
    <t>Order of transactions</t>
  </si>
  <si>
    <t>Verify the ordering</t>
  </si>
  <si>
    <t>Transactions follow a consistent order (most recent first is expected; SRS does not define it)</t>
  </si>
  <si>
    <t>TC_MS_011</t>
  </si>
  <si>
    <t>New transaction appears immediately</t>
  </si>
  <si>
    <t>Verify a fresh transaction is listed</t>
  </si>
  <si>
    <t>1. Make a deposit into 185674
2. Open Mini Statement for 185674</t>
  </si>
  <si>
    <t>A transaction made just before the enquiry appears as the latest row</t>
  </si>
  <si>
    <t>TC_MS_012</t>
  </si>
  <si>
    <t>Transfer appears on both accounts</t>
  </si>
  <si>
    <t>Verify both sides of a transfer are listed</t>
  </si>
  <si>
    <t>1. Transfer from account 185674 to account 185671
2. Open Mini Statement for both accounts</t>
  </si>
  <si>
    <t>Payer: 185674 Payee: 185671</t>
  </si>
  <si>
    <t>Both statements show the transfer with its Transaction ID and correct balance after</t>
  </si>
  <si>
    <t>TC_MS_013</t>
  </si>
  <si>
    <t>Failed transaction is not listed</t>
  </si>
  <si>
    <t>Verify rejected transactions leave no row</t>
  </si>
  <si>
    <t>1. Attempt a withdrawal above the balance of account 185671
2. Open Mini Statement for account 185671</t>
  </si>
  <si>
    <t>Account Number: 185671 ◄</t>
  </si>
  <si>
    <t>A withdrawal rejected with E42 does not appear in the statement</t>
  </si>
  <si>
    <t>TC_MS_014</t>
  </si>
  <si>
    <t>Verify each row has a different ID</t>
  </si>
  <si>
    <t>No Transaction ID is repeated</t>
  </si>
  <si>
    <t>TC_MS_015</t>
  </si>
  <si>
    <t>Account Number: blank (MS1)</t>
  </si>
  <si>
    <t>TC_MS_016</t>
  </si>
  <si>
    <t>Account Number: non-numeric (MS2)</t>
  </si>
  <si>
    <t>TC_MS_017</t>
  </si>
  <si>
    <t>TC_MS_018</t>
  </si>
  <si>
    <t>Account Number: does not exist (MS3)</t>
  </si>
  <si>
    <t>[Manager] Account of another Manager (MS6)</t>
  </si>
  <si>
    <t>Verify a Manager cannot view another Manager's statement</t>
  </si>
  <si>
    <t>1. A second Manager account exists (Manager 2) and owns customer/account that are NOT associated with Manager 1
2. Logged in as Manager 1
3. Mini Statement page is open</t>
  </si>
  <si>
    <t>Account Number: 185672 (account of another Manager) ◄</t>
  </si>
  <si>
    <t>E44 is displayed</t>
  </si>
  <si>
    <t>E22 is displayed; no data of other accounts is returned</t>
  </si>
  <si>
    <t>TC_CS_001</t>
  </si>
  <si>
    <t>Valid date range with transactions</t>
  </si>
  <si>
    <t>Verify transactions within the range are listed</t>
  </si>
  <si>
    <t>1. Logged in as Manager
2. Account 185674 has at least 6 transactions made today with amounts such as 50, 100, 250, 500, 1000 and 2000
3. Customized Statement page is open</t>
  </si>
  <si>
    <t>Account Number: 185674
From Date: Execution date − 7 days
To Date: Execution date
Min Transaction Value: (empty)
Number of Transactions: (empty)</t>
  </si>
  <si>
    <t>All transactions of 185674 in the range are displayed with their details</t>
  </si>
  <si>
    <t>TC_CS_002</t>
  </si>
  <si>
    <t>Range with no transactions</t>
  </si>
  <si>
    <t>Verify an empty result</t>
  </si>
  <si>
    <t>Account Number: 185674
From Date: 2020-01-01 ◄
To Date: 2020-01-31 ◄
Min Transaction Value: (empty)
Number of Transactions: (empty)</t>
  </si>
  <si>
    <t>No transactions are listed and a clear message is shown (not defined in the SRS)</t>
  </si>
  <si>
    <t>TC_CS_003</t>
  </si>
  <si>
    <t>From Date equal to To Date (BVA)</t>
  </si>
  <si>
    <t>Verify a single-day range</t>
  </si>
  <si>
    <t>Account Number: 185674
From Date: Execution date ◄
To Date: Execution date ◄
Min Transaction Value: (empty)
Number of Transactions: (empty)</t>
  </si>
  <si>
    <t>Transactions made on that day are included</t>
  </si>
  <si>
    <t>TC_CS_004</t>
  </si>
  <si>
    <t>Day without transactions</t>
  </si>
  <si>
    <t>Verify the day boundary</t>
  </si>
  <si>
    <t>Account Number: 185674
From Date: Execution date − 1 day ◄
To Date: Execution date − 1 day ◄
Min Transaction Value: (empty)
Number of Transactions: (empty)</t>
  </si>
  <si>
    <t>Transactions made today are not included</t>
  </si>
  <si>
    <t>TC_CS_005</t>
  </si>
  <si>
    <t>From Date greater than To Date (CS6)</t>
  </si>
  <si>
    <t>Verify an inverted range is rejected</t>
  </si>
  <si>
    <t>Account Number: 185674
From Date: Execution date ◄
To Date: Execution date − 7 days ◄
Min Transaction Value: (empty)
Number of Transactions: (empty)</t>
  </si>
  <si>
    <t>E32: "From Date cannot be greater than To Date"</t>
  </si>
  <si>
    <t>The system accepted a From Date later than the To Date; the error E32 was not displayed.</t>
  </si>
  <si>
    <t>TC_CS_006</t>
  </si>
  <si>
    <t>From Date: blank (CS4)</t>
  </si>
  <si>
    <t>Verify blank From Date is rejected</t>
  </si>
  <si>
    <t>Account Number: 185674
From Date: (empty) ◄
To Date: Execution date
Min Transaction Value: (empty)
Number of Transactions: (empty)</t>
  </si>
  <si>
    <t>E30: "From Date field must not be blank"</t>
  </si>
  <si>
    <t>The system accepted a blank From Date; the error E30 was not displayed.</t>
  </si>
  <si>
    <t>TC_CS_007</t>
  </si>
  <si>
    <t>To Date: blank (CS5)</t>
  </si>
  <si>
    <t>Verify blank To Date is rejected</t>
  </si>
  <si>
    <t>Account Number: 185674
From Date: Execution date − 7 days
To Date: (empty) ◄
Min Transaction Value: (empty)
Number of Transactions: (empty)</t>
  </si>
  <si>
    <t>E31: "To Date field must not be blank"</t>
  </si>
  <si>
    <t>The system accepted a blank To Date; the error E31 was not displayed.</t>
  </si>
  <si>
    <t>TC_CS_008</t>
  </si>
  <si>
    <t>Both dates blank</t>
  </si>
  <si>
    <t>Verify both date errors</t>
  </si>
  <si>
    <t>Account Number: 185674
From Date: (empty) ◄
To Date: (empty) ◄
Min Transaction Value: (empty)
Number of Transactions: (empty)</t>
  </si>
  <si>
    <t>E30 and E31 are displayed</t>
  </si>
  <si>
    <t>The errors E30 and E31 were not displayed.</t>
  </si>
  <si>
    <t>TC_CS_009</t>
  </si>
  <si>
    <t>Invalid date format</t>
  </si>
  <si>
    <t>Account Number: 185674
From Date:
   [Attempt 1] 31/02/2025
   [Attempt 2] abc ◄
To Date: Execution date
Min Transaction Value: (empty)
Number of Transactions: (empty)</t>
  </si>
  <si>
    <t>The error E57 was not displayed for the invalid date.</t>
  </si>
  <si>
    <t>TC_CS_010</t>
  </si>
  <si>
    <t>Future date range</t>
  </si>
  <si>
    <t>Verify a future range is handled</t>
  </si>
  <si>
    <t>Account Number: 185674
From Date: Execution date + 1 day ◄
To Date: Execution date + 7 days ◄
Min Transaction Value: (empty)
Number of Transactions: (empty)</t>
  </si>
  <si>
    <t>No transactions are listed, or a clear message is shown</t>
  </si>
  <si>
    <t>TC_CS_011</t>
  </si>
  <si>
    <t>Min Transaction Value filter</t>
  </si>
  <si>
    <t>Verify the amount filter</t>
  </si>
  <si>
    <t>Account Number: 185674
From Date: Execution date − 7 days
To Date: Execution date
Min Transaction Value: 250 ◄
Number of Transactions: (empty)</t>
  </si>
  <si>
    <t>Only transactions with amount greater than (or equal to) 250 are listed; state whether the 250 transaction is included (not defined in the SRS)</t>
  </si>
  <si>
    <t>TC_CS_012</t>
  </si>
  <si>
    <t>Number of Transactions filter</t>
  </si>
  <si>
    <t>Verify the count filter</t>
  </si>
  <si>
    <t>Account Number: 185674
From Date: Execution date − 7 days
To Date: Execution date
Min Transaction Value: (empty)
Number of Transactions: 3 ◄</t>
  </si>
  <si>
    <t>At most 3 transactions are listed (the SRS does not state which ones)</t>
  </si>
  <si>
    <t>TC_CS_013</t>
  </si>
  <si>
    <t>Combined filters</t>
  </si>
  <si>
    <t>Verify dates, amount and count together</t>
  </si>
  <si>
    <t>Account Number: 185674
From Date: Execution date − 7 days
To Date: Execution date
Min Transaction Value: 250 ◄
Number of Transactions: 2 ◄</t>
  </si>
  <si>
    <t>At most 2 transactions, all of amount &gt;= 250 and inside the date range, are listed</t>
  </si>
  <si>
    <t>TC_CS_014</t>
  </si>
  <si>
    <t>Number larger than available</t>
  </si>
  <si>
    <t>Verify a large count returns all matches</t>
  </si>
  <si>
    <t>Account Number: 185674
From Date: Execution date − 7 days
To Date: Execution date
Min Transaction Value: (empty)
Number of Transactions: 100 ◄</t>
  </si>
  <si>
    <t>All matching transactions are listed with no error</t>
  </si>
  <si>
    <t>TC_CS_015</t>
  </si>
  <si>
    <t>Min Transaction Value: non-numeric (CS7)</t>
  </si>
  <si>
    <t>Account Number: 185674
From Date: Execution date − 7 days
To Date: Execution date
Min Transaction Value:
   [Attempt 1] abc
   [Attempt 2] 2@0 ◄
Number of Transactions: (empty)</t>
  </si>
  <si>
    <t>E34: "Minimum Transaction Value must be numeric" for each attempt</t>
  </si>
  <si>
    <t>TC_CS_016</t>
  </si>
  <si>
    <t>Number of Transactions: non-numeric (CS8)</t>
  </si>
  <si>
    <t>Account Number: 185674
From Date: Execution date − 7 days
To Date: Execution date
Min Transaction Value: (empty)
Number of Transactions:
   [Attempt 1] abc
   [Attempt 2] 2@ ◄</t>
  </si>
  <si>
    <t>E36: "Number of Transaction must be numeric" for each attempt</t>
  </si>
  <si>
    <t>TC_CS_017</t>
  </si>
  <si>
    <t>Optional fields left blank</t>
  </si>
  <si>
    <t>Verify the optional fields (SRS 3.1.13)</t>
  </si>
  <si>
    <t>The statement is produced without E33 or E35 (SRS conflict: E33 and E35 say these fields must not be blank)</t>
  </si>
  <si>
    <t>No error message was displayed.</t>
  </si>
  <si>
    <t>TC_CS_018</t>
  </si>
  <si>
    <t>Min Transaction Value: zero and negative</t>
  </si>
  <si>
    <t>Verify unusual values</t>
  </si>
  <si>
    <t>Account Number: 185674
From Date: Execution date − 7 days
To Date: Execution date
Min Transaction Value:
   [Attempt 1] 0
   [Attempt 2] -100 ◄
Number of Transactions: (empty)</t>
  </si>
  <si>
    <t>Behavior is consistent: zero returns all transactions; a negative value is rejected or ignored (not defined in the SRS)</t>
  </si>
  <si>
    <t>TC_CS_019</t>
  </si>
  <si>
    <t>Number of Transactions: zero and negative</t>
  </si>
  <si>
    <t>Account Number: 185674
From Date: Execution date − 7 days
To Date: Execution date
Min Transaction Value: (empty)
Number of Transactions:
   [Attempt 1] 0
   [Attempt 2] -3 ◄</t>
  </si>
  <si>
    <t>Behavior is consistent and no error page or crash occurs (not defined in the SRS)</t>
  </si>
  <si>
    <t>TC_CS_020</t>
  </si>
  <si>
    <t>Min Transaction Value: decimal</t>
  </si>
  <si>
    <t>Verify a decimal filter</t>
  </si>
  <si>
    <t>Account Number: 185674
From Date: Execution date − 7 days
To Date: Execution date
Min Transaction Value: 100.50 ◄
Number of Transactions: (empty)</t>
  </si>
  <si>
    <t>The filter is applied correctly or a clear error is shown</t>
  </si>
  <si>
    <t>TC_CS_021</t>
  </si>
  <si>
    <t>Account Number: blank (CS1)</t>
  </si>
  <si>
    <t>Account Number: (empty) ◄
From Date: Execution date − 7 days
To Date: Execution date
Min Transaction Value: (empty)
Number of Transactions: (empty)</t>
  </si>
  <si>
    <t>TC_CS_022</t>
  </si>
  <si>
    <t>Account Number: non-numeric (CS2)</t>
  </si>
  <si>
    <t>Account Number:
   [Attempt 1] ABC123
   [Attempt 2] 12@#45 ◄
From Date: Execution date − 7 days
To Date: Execution date
Min Transaction Value: (empty)
Number of Transactions: (empty)</t>
  </si>
  <si>
    <t>TC_CS_023</t>
  </si>
  <si>
    <t>Account Number: does not exist (CS3)</t>
  </si>
  <si>
    <t>Account Number: 999999999999999 ◄
From Date: Execution date − 7 days
To Date: Execution date
Min Transaction Value: (empty)
Number of Transactions: (empty)</t>
  </si>
  <si>
    <t>[Manager] Account of another Manager (CS10)</t>
  </si>
  <si>
    <t>1. A second Manager account exists (Manager 2) and owns customer/account that are NOT associated with Manager 1
2. Logged in as Manager 1
3. Customized Statement page is open</t>
  </si>
  <si>
    <t>Account Number: an account of a Manager 2 customer (number not recorded) ◄
From Date: Execution date − 7 days
To Date: Execution date
Min Transaction Value: (empty)
Number of Transactions: (empty)</t>
  </si>
  <si>
    <t>TC_CS_025</t>
  </si>
  <si>
    <t>Verify the displayed columns</t>
  </si>
  <si>
    <t>Transaction ID, Date, Type, Amount, Balance and Description are displayed (columns are not defined for this module in the SRS; same as Mini Statement expected)</t>
  </si>
  <si>
    <t>TC_CS_026</t>
  </si>
  <si>
    <t>Account Number: 185674
From Date: Execution date − 7 days
To Date: Execution date
Min Transaction Value: 250 ◄
Number of Transactions: 3 ◄</t>
  </si>
  <si>
    <t>TC_CS_027</t>
  </si>
  <si>
    <t>Verify fields in SRS 3.1.13 exist</t>
  </si>
  <si>
    <t>1. Open the Customized Statement page
2. Review the form</t>
  </si>
  <si>
    <t>Account Number, From Date (date picker), To Date (date picker), Min Transaction Value, Number of Transactions, Submit and Reset are present</t>
  </si>
  <si>
    <t>TC_CP_001</t>
  </si>
  <si>
    <t>[Manager] Change password with valid data</t>
  </si>
  <si>
    <t>Verify the password is changed</t>
  </si>
  <si>
    <t>1. Logged in as Manager (current password rUqyzUv)
2. Change Password page is open</t>
  </si>
  <si>
    <t>Old Password: rUqyzUv
New Password: NewPass@456
Confirm Password: NewPass@456</t>
  </si>
  <si>
    <t>The password is changed and a confirmation is displayed (message not defined in the SRS)</t>
  </si>
  <si>
    <t>The password was changed and a confirmation was displayed.</t>
  </si>
  <si>
    <t>TC_CP_002</t>
  </si>
  <si>
    <t>Login with the new password</t>
  </si>
  <si>
    <t>Verify the new password works</t>
  </si>
  <si>
    <t>1. Password was changed in TC_CP_001</t>
  </si>
  <si>
    <t>1. Log out
2. Log in with the new password</t>
  </si>
  <si>
    <t>User ID: mngr668217
Password: NewPass@456</t>
  </si>
  <si>
    <t>Login succeeds</t>
  </si>
  <si>
    <t>TC_CP_003</t>
  </si>
  <si>
    <t>Old password no longer works</t>
  </si>
  <si>
    <t>Verify the old password is rejected</t>
  </si>
  <si>
    <t>1. Log out
2. Log in with the old password</t>
  </si>
  <si>
    <t>E3: "User ID and Password do not match"</t>
  </si>
  <si>
    <t>TC_CP_004</t>
  </si>
  <si>
    <t>Old Password: blank (CP1)</t>
  </si>
  <si>
    <t>Verify blank old password is rejected</t>
  </si>
  <si>
    <t>1. Logged in as Manager (current password NewPass@456)
2. Change Password page is open</t>
  </si>
  <si>
    <t>Old Password: (empty) ◄
New Password: NewPass@789
Confirm Password: NewPass@789</t>
  </si>
  <si>
    <t>E25: "Old Password must not be blank"</t>
  </si>
  <si>
    <t>TC_CP_005</t>
  </si>
  <si>
    <t>New Password: blank (CP3)</t>
  </si>
  <si>
    <t>Verify blank new password is rejected</t>
  </si>
  <si>
    <t>Old Password: NewPass@456
New Password: (empty) ◄
Confirm Password: NewPass@789</t>
  </si>
  <si>
    <t>E26: "New Password must not be blank"</t>
  </si>
  <si>
    <t>TC_CP_006</t>
  </si>
  <si>
    <t>Confirm Password: blank (CP5)</t>
  </si>
  <si>
    <t>Verify blank confirmation is rejected</t>
  </si>
  <si>
    <t>Old Password: NewPass@456
New Password: NewPass@789
Confirm Password: (empty) ◄</t>
  </si>
  <si>
    <t>E27: "Confirm Password must not be blank"</t>
  </si>
  <si>
    <t>TC_CP_007</t>
  </si>
  <si>
    <t>Old Password: (empty) ◄
New Password: (empty) ◄
Confirm Password: (empty) ◄</t>
  </si>
  <si>
    <t>E25, E26 and E27 are displayed</t>
  </si>
  <si>
    <t>TC_CP_008</t>
  </si>
  <si>
    <t>Old Password: incorrect (CP2)</t>
  </si>
  <si>
    <t>Verify a wrong old password is rejected</t>
  </si>
  <si>
    <t>Old Password: Wrong@999 ◄
New Password: NewPass@789
Confirm Password: NewPass@789</t>
  </si>
  <si>
    <t>E29: "Old Password is incorrect"</t>
  </si>
  <si>
    <t>TC_CP_009</t>
  </si>
  <si>
    <t>Old Password: wrong letter case</t>
  </si>
  <si>
    <t>Verify the old password is case-sensitive</t>
  </si>
  <si>
    <t>Old Password: newpass@456 ◄ (current password in lowercase)
New Password: NewPass@789
Confirm Password: NewPass@789</t>
  </si>
  <si>
    <t>E29 is displayed</t>
  </si>
  <si>
    <t>TC_CP_010</t>
  </si>
  <si>
    <t>New Password: 5 characters (CP4, BVA)</t>
  </si>
  <si>
    <t>Old Password: NewPass@456
New Password: Ab@12 ◄
Confirm Password: Ab@12 ◄</t>
  </si>
  <si>
    <t>The password is rejected with an error (SRS lists a "Custom error"); the password is unchanged</t>
  </si>
  <si>
    <t>The 5-character password was accepted and the password was changed; no error message was displayed.</t>
  </si>
  <si>
    <t>TC_CP_011</t>
  </si>
  <si>
    <t>New Password: 6 characters (BVA)</t>
  </si>
  <si>
    <t>1. Logged in as Manager (current password Ab@12)
2. Change Password page is open</t>
  </si>
  <si>
    <t>Old Password: Ab@12 (set in TC_CP_010)
New Password: Ab@123 ◄
Confirm Password: Ab@123 ◄</t>
  </si>
  <si>
    <t>The password is changed successfully</t>
  </si>
  <si>
    <t>TC_CP_012</t>
  </si>
  <si>
    <t>New and Confirm Password do not match (CP6)</t>
  </si>
  <si>
    <t>Verify a mismatch is rejected</t>
  </si>
  <si>
    <t>1. Logged in as Manager (current password Ab@123)
2. Change Password page is open</t>
  </si>
  <si>
    <t>Old Password: Ab@123
New Password: NewPass@789
Confirm Password: Different@789 ◄</t>
  </si>
  <si>
    <t>E28: "Passwords do not match"</t>
  </si>
  <si>
    <t>TC_CP_013</t>
  </si>
  <si>
    <t>Mismatch only in letter case</t>
  </si>
  <si>
    <t>Verify the comparison is case-sensitive</t>
  </si>
  <si>
    <t>Old Password: Ab@123
New Password: NewPass@789
Confirm Password: newpass@789 ◄</t>
  </si>
  <si>
    <t>E28 is displayed</t>
  </si>
  <si>
    <t>TC_CP_014</t>
  </si>
  <si>
    <t>New Password same as Old Password</t>
  </si>
  <si>
    <t>Verify behavior when nothing changes</t>
  </si>
  <si>
    <t>Old Password: Ab@123
New Password: Ab@123 ◄
Confirm Password: Ab@123 ◄</t>
  </si>
  <si>
    <t>Behavior is consistent (rejected, or accepted); the SRS does not define it</t>
  </si>
  <si>
    <t>The password was changed.</t>
  </si>
  <si>
    <t>TC_CP_015</t>
  </si>
  <si>
    <t>New Password: max length (BVA)</t>
  </si>
  <si>
    <t>Verify long passwords are handled</t>
  </si>
  <si>
    <t>Old Password:
   [Attempt 1] Ab@123
   [Attempt 2] Ab@123xxxxxxxxxxxxxxxxxxxxxxxx (set in attempt 1)
New Password:
   [Attempt 1] Ab@123xxxxxxxxxxxxxxxxxxxxxxxx (30 characters) ◄
   [Attempt 2] Ab@123xxxxxxxxxxxxxxxxxxxxxxxxx (31 characters) ◄
Confirm Password: (same as New Password)</t>
  </si>
  <si>
    <t>30 characters are accepted (Login allows 30); the 31st is rejected or truncated; no max is stated for this module</t>
  </si>
  <si>
    <t>Both the 30-character and the 31-character passwords were accepted and the password was changed.</t>
  </si>
  <si>
    <t>TC_CP_016</t>
  </si>
  <si>
    <t>New Password: special characters</t>
  </si>
  <si>
    <t>Verify symbols are accepted</t>
  </si>
  <si>
    <t>1. Logged in as Manager (current password Ab@123xxxxxxxxxxxxxxxxxxxxxxxxx)
2. Change Password page is open</t>
  </si>
  <si>
    <t>Old Password: Ab@123xxxxxxxxxxxxxxxxxxxxxxxxx (set in TC_CP_015)
New Password: P@$$w0rd!#% ◄
Confirm Password: P@$$w0rd!#% ◄</t>
  </si>
  <si>
    <t>The password is changed and the new password works at login</t>
  </si>
  <si>
    <t>TC_CP_017</t>
  </si>
  <si>
    <t>New Password: contains spaces</t>
  </si>
  <si>
    <t>Verify spaces are handled</t>
  </si>
  <si>
    <t>1. Logged in as Manager (current password P@$$w0rd!#%)
2. Change Password page is open</t>
  </si>
  <si>
    <t>Old Password: P@$$w0rd!#% (set in TC_CP_016)
New Password: P@ss word 1 ◄
Confirm Password: P@ss word 1 ◄</t>
  </si>
  <si>
    <t>Behavior is consistent (accepted and works at login, or rejected); not defined in the SRS</t>
  </si>
  <si>
    <t>The password containing spaces was accepted and the password was changed.</t>
  </si>
  <si>
    <t>TC_CP_018</t>
  </si>
  <si>
    <t>Password fields are masked</t>
  </si>
  <si>
    <t>Verify all three fields hide the input</t>
  </si>
  <si>
    <t>1. Logged in as Manager (current password P@ss word 1)
2. Change Password page is open</t>
  </si>
  <si>
    <t>1. Type in each password field</t>
  </si>
  <si>
    <t>Old Password: P@ss word 1 (set in TC_CP_017)
New Password: NewPass@789
Confirm Password: NewPass@789</t>
  </si>
  <si>
    <t>Characters in Old, New and Confirm Password appear as dots/asterisks</t>
  </si>
  <si>
    <t>TC_CP_019</t>
  </si>
  <si>
    <t>Old Password: P@ss word 1
New Password: NewPass@789
Confirm Password: NewPass@789</t>
  </si>
  <si>
    <t>TC_CP_020</t>
  </si>
  <si>
    <t>Verify fields in SRS 3.1.14 exist</t>
  </si>
  <si>
    <t>1. Open the Change Password page
2. Review the form</t>
  </si>
  <si>
    <t>Old Password, New Password, Confirm Password, Submit and Reset are present</t>
  </si>
  <si>
    <t>TC_CP_021</t>
  </si>
  <si>
    <t>Failed change keeps the password</t>
  </si>
  <si>
    <t>Verify a rejected change does not alter the password</t>
  </si>
  <si>
    <t>1. Submit the form (error expected)
2. Log out and log in with the original password</t>
  </si>
  <si>
    <t>Old Password: P@ss word 1
New Password: NewPass@789
Confirm Password: Different@789 ◄</t>
  </si>
  <si>
    <t>After E28, logging in with the original password still works</t>
  </si>
  <si>
    <t>TC_CP_022</t>
  </si>
  <si>
    <t>Session after password change</t>
  </si>
  <si>
    <t>Verify what happens to the active session</t>
  </si>
  <si>
    <t>1. Change the password
2. Click any menu link</t>
  </si>
  <si>
    <t>Behavior is consistent (stay logged in, or forced to log in again); not defined in the SRS</t>
  </si>
  <si>
    <t>The system forced the manager to log in again.</t>
  </si>
  <si>
    <t>SQL injection in Old Password</t>
  </si>
  <si>
    <t>Old Password: ' OR '1'='1 ◄
New Password: NewPass@789
Confirm Password: NewPass@789</t>
  </si>
  <si>
    <t>E29 is displayed; the password is not changed and no database error is shown</t>
  </si>
  <si>
    <t>Req ID</t>
  </si>
  <si>
    <t>SRS section</t>
  </si>
  <si>
    <t>Module</t>
  </si>
  <si>
    <t>Requirement</t>
  </si>
  <si>
    <t>Error</t>
  </si>
  <si>
    <t>Test cases</t>
  </si>
  <si>
    <t>No. of TCs</t>
  </si>
  <si>
    <t>Coverage status</t>
  </si>
  <si>
    <t>Linked defects</t>
  </si>
  <si>
    <t>L1</t>
  </si>
  <si>
    <t>3.3.1</t>
  </si>
  <si>
    <t>Login</t>
  </si>
  <si>
    <t>User ID must not be blank</t>
  </si>
  <si>
    <t>Display error E1</t>
  </si>
  <si>
    <t>TC_LG_002, TC_LG_004</t>
  </si>
  <si>
    <t>L2</t>
  </si>
  <si>
    <t>Password must not be blank</t>
  </si>
  <si>
    <t>Display error E2</t>
  </si>
  <si>
    <t>TC_LG_003 - TC_LG_004</t>
  </si>
  <si>
    <t>User ID and Password combination must exist in database</t>
  </si>
  <si>
    <t>Display error E3</t>
  </si>
  <si>
    <t>BUG_006</t>
  </si>
  <si>
    <t>Account must not be locked</t>
  </si>
  <si>
    <t>Display lockout message</t>
  </si>
  <si>
    <t>BUG_003</t>
  </si>
  <si>
    <t>L5</t>
  </si>
  <si>
    <t>Maximum 3 failed attempts allowed</t>
  </si>
  <si>
    <t>Lock account after 3 failures</t>
  </si>
  <si>
    <t>NC1</t>
  </si>
  <si>
    <t>3.3.2</t>
  </si>
  <si>
    <t>New Customer</t>
  </si>
  <si>
    <t>Customer Name: Must not be blank</t>
  </si>
  <si>
    <t>E4</t>
  </si>
  <si>
    <t>NC2</t>
  </si>
  <si>
    <t>Customer Name: Must not contain numbers</t>
  </si>
  <si>
    <t>E48</t>
  </si>
  <si>
    <t>NC3</t>
  </si>
  <si>
    <t>Customer Name: Must not contain special characters</t>
  </si>
  <si>
    <t>E46</t>
  </si>
  <si>
    <t>NC4</t>
  </si>
  <si>
    <t>Customer Name: First character cannot be space</t>
  </si>
  <si>
    <t>E47</t>
  </si>
  <si>
    <t>NC5</t>
  </si>
  <si>
    <t>Address: Must not be blank</t>
  </si>
  <si>
    <t>E5</t>
  </si>
  <si>
    <t>NC6</t>
  </si>
  <si>
    <t>City: Must not be blank</t>
  </si>
  <si>
    <t>E6</t>
  </si>
  <si>
    <t>NC7</t>
  </si>
  <si>
    <t>City: Must not contain numbers</t>
  </si>
  <si>
    <t>NC8</t>
  </si>
  <si>
    <t>State: Must not be blank</t>
  </si>
  <si>
    <t>E7</t>
  </si>
  <si>
    <t>NC9</t>
  </si>
  <si>
    <t>State: Must not contain numbers</t>
  </si>
  <si>
    <t>NC10</t>
  </si>
  <si>
    <t>PIN Code: Must not be blank</t>
  </si>
  <si>
    <t>E8</t>
  </si>
  <si>
    <t>NC11</t>
  </si>
  <si>
    <t>PIN Code: Must be numeric</t>
  </si>
  <si>
    <t>E9</t>
  </si>
  <si>
    <t>NC12</t>
  </si>
  <si>
    <t>PIN Code: Must have exactly 6 digits</t>
  </si>
  <si>
    <t>E10</t>
  </si>
  <si>
    <t>NC13</t>
  </si>
  <si>
    <t>Mobile Number: Must not be blank</t>
  </si>
  <si>
    <t>E11</t>
  </si>
  <si>
    <t>NC14</t>
  </si>
  <si>
    <t>Mobile Number: Must be numeric</t>
  </si>
  <si>
    <t>E12</t>
  </si>
  <si>
    <t>NC15</t>
  </si>
  <si>
    <t>Email: Must not be blank</t>
  </si>
  <si>
    <t>E13</t>
  </si>
  <si>
    <t>NC16</t>
  </si>
  <si>
    <t>Email: Must be valid email format</t>
  </si>
  <si>
    <t>E14</t>
  </si>
  <si>
    <t>NC17</t>
  </si>
  <si>
    <t>Email: Must be unique in system</t>
  </si>
  <si>
    <t>E49</t>
  </si>
  <si>
    <t>NC18</t>
  </si>
  <si>
    <t>Date of Birth: Must not be blank</t>
  </si>
  <si>
    <t>E50</t>
  </si>
  <si>
    <t>NC19</t>
  </si>
  <si>
    <t>Date of Birth: Age must be 18 or above</t>
  </si>
  <si>
    <t>Custom error</t>
  </si>
  <si>
    <t>BUG_008</t>
  </si>
  <si>
    <t>Gender: Must be selected</t>
  </si>
  <si>
    <t>BUG_011</t>
  </si>
  <si>
    <t>EC1</t>
  </si>
  <si>
    <t>3.3.3</t>
  </si>
  <si>
    <t>Edit Customer</t>
  </si>
  <si>
    <t>Customer ID must not be blank</t>
  </si>
  <si>
    <t>E15</t>
  </si>
  <si>
    <t>EC2</t>
  </si>
  <si>
    <t>Customer ID must be numeric</t>
  </si>
  <si>
    <t>E16</t>
  </si>
  <si>
    <t>EC3</t>
  </si>
  <si>
    <t>Customer ID must exist in database</t>
  </si>
  <si>
    <t>Customer must be associated with current manager</t>
  </si>
  <si>
    <t>E44</t>
  </si>
  <si>
    <t>EC5</t>
  </si>
  <si>
    <t>Email must be unique (if changed)</t>
  </si>
  <si>
    <t>TC_EC_033 - TC_EC_036</t>
  </si>
  <si>
    <t>BUG_013, BUG_019</t>
  </si>
  <si>
    <t>All field validations same as New Customer</t>
  </si>
  <si>
    <t>Various</t>
  </si>
  <si>
    <t>TC_EC_014 - TC_EC_015, TC_EC_017 - TC_EC_021, TC_EC_023 - TC_EC_025, TC_EC_027 - TC_EC_028, TC_EC_031 - TC_EC_032</t>
  </si>
  <si>
    <t>BUG_014, BUG_015, BUG_016, BUG_017, BUG_018</t>
  </si>
  <si>
    <t>DC1</t>
  </si>
  <si>
    <t>3.3.4</t>
  </si>
  <si>
    <t>Delete Customer</t>
  </si>
  <si>
    <t>DC2</t>
  </si>
  <si>
    <t>DC3</t>
  </si>
  <si>
    <t>TC_DC_005, TC_DC_009</t>
  </si>
  <si>
    <t>Customer must not have any active accounts</t>
  </si>
  <si>
    <t>NA1</t>
  </si>
  <si>
    <t>3.3.5</t>
  </si>
  <si>
    <t>New Account</t>
  </si>
  <si>
    <t>Customer ID: Must not be blank</t>
  </si>
  <si>
    <t>NA2</t>
  </si>
  <si>
    <t>Customer ID: Must be numeric</t>
  </si>
  <si>
    <t>NA3</t>
  </si>
  <si>
    <t>Customer ID: Must exist in database</t>
  </si>
  <si>
    <t>Customer ID: Must be associated with manager</t>
  </si>
  <si>
    <t>Account Type: Must be selected</t>
  </si>
  <si>
    <t>E17</t>
  </si>
  <si>
    <t>NA6</t>
  </si>
  <si>
    <t>Initial Deposit: Must not be blank</t>
  </si>
  <si>
    <t>E18</t>
  </si>
  <si>
    <t>NA7</t>
  </si>
  <si>
    <t>Initial Deposit: Must be numeric</t>
  </si>
  <si>
    <t>E19</t>
  </si>
  <si>
    <t>NA8</t>
  </si>
  <si>
    <t>Initial Deposit: Must be &gt;= 500</t>
  </si>
  <si>
    <t>E20</t>
  </si>
  <si>
    <t>EA1</t>
  </si>
  <si>
    <t>3.3.6</t>
  </si>
  <si>
    <t>Edit Account</t>
  </si>
  <si>
    <t>Account Number must not be blank</t>
  </si>
  <si>
    <t>E21</t>
  </si>
  <si>
    <t>EA2</t>
  </si>
  <si>
    <t>Account Number must be numeric</t>
  </si>
  <si>
    <t>E22</t>
  </si>
  <si>
    <t>BUG_026</t>
  </si>
  <si>
    <t>EA3</t>
  </si>
  <si>
    <t>Account Number must exist in database</t>
  </si>
  <si>
    <t>E24</t>
  </si>
  <si>
    <t>Account must be associated with manager</t>
  </si>
  <si>
    <t>Account Type must be selected</t>
  </si>
  <si>
    <t>DA1</t>
  </si>
  <si>
    <t>3.3.7</t>
  </si>
  <si>
    <t>Delete Account</t>
  </si>
  <si>
    <t>DA2</t>
  </si>
  <si>
    <t>DA3</t>
  </si>
  <si>
    <t>BUG_027</t>
  </si>
  <si>
    <t>Account balance must be zero</t>
  </si>
  <si>
    <t>TC_DA_011, TC_DA_013</t>
  </si>
  <si>
    <t>DP1</t>
  </si>
  <si>
    <t>3.3.8</t>
  </si>
  <si>
    <t>Deposit</t>
  </si>
  <si>
    <t>Account Number: Must not be blank</t>
  </si>
  <si>
    <t>DP2</t>
  </si>
  <si>
    <t>Account Number: Must be numeric</t>
  </si>
  <si>
    <t>DP3</t>
  </si>
  <si>
    <t>Account Number: Must exist in database</t>
  </si>
  <si>
    <t>BUG_028</t>
  </si>
  <si>
    <t>DP4</t>
  </si>
  <si>
    <t>Account Number: Must be associated with manager</t>
  </si>
  <si>
    <t>DP5</t>
  </si>
  <si>
    <t>Amount: Must not be blank</t>
  </si>
  <si>
    <t>E39</t>
  </si>
  <si>
    <t>DP6</t>
  </si>
  <si>
    <t>Amount: Must be numeric</t>
  </si>
  <si>
    <t>E40</t>
  </si>
  <si>
    <t>DP7</t>
  </si>
  <si>
    <t>Amount: Must be greater than 0</t>
  </si>
  <si>
    <t>Description: Must not be blank</t>
  </si>
  <si>
    <t>E41</t>
  </si>
  <si>
    <t>WD1</t>
  </si>
  <si>
    <t>3.3.9</t>
  </si>
  <si>
    <t>Withdrawal</t>
  </si>
  <si>
    <t>WD2</t>
  </si>
  <si>
    <t>WD3</t>
  </si>
  <si>
    <t>WD4</t>
  </si>
  <si>
    <t>WD5</t>
  </si>
  <si>
    <t>WD6</t>
  </si>
  <si>
    <t>WD7</t>
  </si>
  <si>
    <t>BUG_030</t>
  </si>
  <si>
    <t>Amount: Must not exceed account balance</t>
  </si>
  <si>
    <t>E42</t>
  </si>
  <si>
    <t>FT1</t>
  </si>
  <si>
    <t>3.3.10</t>
  </si>
  <si>
    <t>Fund Transfer</t>
  </si>
  <si>
    <t>Payer Account: Must not be blank</t>
  </si>
  <si>
    <t>E37</t>
  </si>
  <si>
    <t>FT2</t>
  </si>
  <si>
    <t>Payer Account: Must be numeric</t>
  </si>
  <si>
    <t>FT3</t>
  </si>
  <si>
    <t>Payer Account: Must exist in database</t>
  </si>
  <si>
    <t>FT4</t>
  </si>
  <si>
    <t>Payee Account: Must not be blank</t>
  </si>
  <si>
    <t>E38</t>
  </si>
  <si>
    <t>FT5</t>
  </si>
  <si>
    <t>Payee Account: Must be numeric</t>
  </si>
  <si>
    <t>FT6</t>
  </si>
  <si>
    <t>Payee Account: Must exist in database</t>
  </si>
  <si>
    <t>FT7</t>
  </si>
  <si>
    <t>Both Accounts: Must not be the same</t>
  </si>
  <si>
    <t>E43</t>
  </si>
  <si>
    <t>FT8</t>
  </si>
  <si>
    <t>FT9</t>
  </si>
  <si>
    <t>FT10</t>
  </si>
  <si>
    <t>Amount: Must not exceed payer balance</t>
  </si>
  <si>
    <t>BUG_032</t>
  </si>
  <si>
    <t>FT12</t>
  </si>
  <si>
    <t>Payer Account: Must belong to user (Customer role)</t>
  </si>
  <si>
    <t>Payer Account: Must be associated with manager (Manager role)</t>
  </si>
  <si>
    <t>BE1</t>
  </si>
  <si>
    <t>3.3.11</t>
  </si>
  <si>
    <t>Balance Enquiry</t>
  </si>
  <si>
    <t>BE2</t>
  </si>
  <si>
    <t>BE3</t>
  </si>
  <si>
    <t>BUG_034</t>
  </si>
  <si>
    <t>BE4</t>
  </si>
  <si>
    <t>Account must belong to user (Customer role)</t>
  </si>
  <si>
    <t>BE5</t>
  </si>
  <si>
    <t>Account must be associated with manager (Manager role)</t>
  </si>
  <si>
    <t>MS1</t>
  </si>
  <si>
    <t>3.3.12</t>
  </si>
  <si>
    <t>Mini Statement</t>
  </si>
  <si>
    <t>MS2</t>
  </si>
  <si>
    <t>MS3</t>
  </si>
  <si>
    <t>MS4</t>
  </si>
  <si>
    <t>Account must have transactions</t>
  </si>
  <si>
    <t>BUG_035</t>
  </si>
  <si>
    <t>MS5</t>
  </si>
  <si>
    <t>MS6</t>
  </si>
  <si>
    <t>CS1</t>
  </si>
  <si>
    <t>3.3.13</t>
  </si>
  <si>
    <t>Customized Statement</t>
  </si>
  <si>
    <t>BUG_039</t>
  </si>
  <si>
    <t>CS2</t>
  </si>
  <si>
    <t>CS3</t>
  </si>
  <si>
    <t>CS4</t>
  </si>
  <si>
    <t>From Date: Must not be blank</t>
  </si>
  <si>
    <t>E30</t>
  </si>
  <si>
    <t>BUG_037</t>
  </si>
  <si>
    <t>CS5</t>
  </si>
  <si>
    <t>To Date: Must not be blank</t>
  </si>
  <si>
    <t>E31</t>
  </si>
  <si>
    <t>CS6</t>
  </si>
  <si>
    <t>Dates: From Date must not be greater than To Date</t>
  </si>
  <si>
    <t>E32</t>
  </si>
  <si>
    <t>CS7</t>
  </si>
  <si>
    <t>Min Transaction: Must be numeric if provided</t>
  </si>
  <si>
    <t>E34</t>
  </si>
  <si>
    <t>CS8</t>
  </si>
  <si>
    <t>Num of Transactions: Must be numeric if provided</t>
  </si>
  <si>
    <t>E36</t>
  </si>
  <si>
    <t>CS9</t>
  </si>
  <si>
    <t>Account: Must belong to user (Customer role)</t>
  </si>
  <si>
    <t>CS10</t>
  </si>
  <si>
    <t>Account: Must be associated with manager (Manager role)</t>
  </si>
  <si>
    <t>CP1</t>
  </si>
  <si>
    <t>3.3.14</t>
  </si>
  <si>
    <t>Change Password</t>
  </si>
  <si>
    <t>Old Password: Must not be blank</t>
  </si>
  <si>
    <t>E25</t>
  </si>
  <si>
    <t>Old Password: Must match current password in database</t>
  </si>
  <si>
    <t>E29</t>
  </si>
  <si>
    <t>CP3</t>
  </si>
  <si>
    <t>New Password: Must not be blank</t>
  </si>
  <si>
    <t>E26</t>
  </si>
  <si>
    <t>New Password: Must be minimum 6 characters</t>
  </si>
  <si>
    <t>BUG_040</t>
  </si>
  <si>
    <t>CP5</t>
  </si>
  <si>
    <t>Confirm Password: Must not be blank</t>
  </si>
  <si>
    <t>E27</t>
  </si>
  <si>
    <t>Passwords: New and Confirm passwords must match</t>
  </si>
  <si>
    <t>E28</t>
  </si>
  <si>
    <t>Login module (SRS 3.1.1): main functions, form structure and behavior</t>
  </si>
  <si>
    <t>TC_LG_001, TC_LG_007 - TC_LG_008, TC_LG_011 - TC_LG_013, TC_LG_015</t>
  </si>
  <si>
    <t>BUG_005, BUG_007</t>
  </si>
  <si>
    <t>2</t>
  </si>
  <si>
    <t>Roles, dashboards and logout (SRS 2)</t>
  </si>
  <si>
    <t>BUG_004</t>
  </si>
  <si>
    <t>2.1.4</t>
  </si>
  <si>
    <t>Session expires after 15 minutes of inactivity (E54)</t>
  </si>
  <si>
    <t>2 / 3.2.4</t>
  </si>
  <si>
    <t>Role-based access: users cannot open pages of other roles or without login (E56)</t>
  </si>
  <si>
    <t>BUG_002</t>
  </si>
  <si>
    <t>3.2.4</t>
  </si>
  <si>
    <t>Security requirements (injection and input handling)</t>
  </si>
  <si>
    <t>BUG_001</t>
  </si>
  <si>
    <t>New Customer module (SRS 3.1.2): main functions, form structure and behavior</t>
  </si>
  <si>
    <t>TC_NC_001 - TC_NC_005, TC_NC_043 - TC_NC_047</t>
  </si>
  <si>
    <t>BUG_010</t>
  </si>
  <si>
    <t>E59</t>
  </si>
  <si>
    <t>E59: Mobile number must be 10 digits (error not linked to a rule)</t>
  </si>
  <si>
    <t>BUG_009</t>
  </si>
  <si>
    <t>General input handling: XSS, SQL injection, double submission, read-only enquiries</t>
  </si>
  <si>
    <t>TC_BE_014 - TC_BE_015; TC_CP_023; TC_DP_025 - TC_DP_027; TC_EA_015; TC_EC_040; TC_FT_029 - TC_FT_031; TC_MS_020; TC_NA_026 - TC_NA_029; TC_NC_048 - TC_NC_052</t>
  </si>
  <si>
    <t>BUG_026, BUG_028, BUG_032, BUG_033, BUG_034</t>
  </si>
  <si>
    <t>Edit Customer module (SRS 3.1.3): main functions, form structure and behavior</t>
  </si>
  <si>
    <t>TC_EC_001 - TC_EC_003, TC_EC_010 - TC_EC_013</t>
  </si>
  <si>
    <t>BUG_013</t>
  </si>
  <si>
    <t>Delete Customer module (SRS 3.1.4): main functions, form structure and behavior</t>
  </si>
  <si>
    <t>TC_DC_001 - TC_DC_005, TC_DC_012 - TC_DC_014</t>
  </si>
  <si>
    <t>BUG_022</t>
  </si>
  <si>
    <t>New Account module (SRS 3.1.5): main functions, form structure and behavior</t>
  </si>
  <si>
    <t>TC_NA_001 - TC_NA_007</t>
  </si>
  <si>
    <t>Edit Account module (SRS 3.1.6): main functions, form structure and behavior</t>
  </si>
  <si>
    <t>TC_EA_001 - TC_EA_003</t>
  </si>
  <si>
    <t>Delete Account module (SRS 3.1.7): main functions, form structure and behavior</t>
  </si>
  <si>
    <t>TC_DA_001 - TC_DA_005</t>
  </si>
  <si>
    <t>Deposit module (SRS 3.1.8): main functions, form structure and behavior</t>
  </si>
  <si>
    <t>TC_DP_001 - TC_DP_005, TC_DP_022 - TC_DP_024</t>
  </si>
  <si>
    <t>Withdrawal module (SRS 3.1.9): main functions, form structure and behavior</t>
  </si>
  <si>
    <t>TC_WD_001 - TC_WD_005, TC_WD_026 - TC_WD_029</t>
  </si>
  <si>
    <t>BUG_030, BUG_034, BUG_035</t>
  </si>
  <si>
    <t>Fund Transfer module (SRS 3.1.10): main functions, form structure and behavior</t>
  </si>
  <si>
    <t>TC_FT_001 - TC_FT_005, TC_FT_025 - TC_FT_028</t>
  </si>
  <si>
    <t>Balance Enquiry module (SRS 3.1.11): main functions, form structure and behavior</t>
  </si>
  <si>
    <t>TC_BE_001 - TC_BE_007</t>
  </si>
  <si>
    <t>Mini Statement module (SRS 3.1.12): main functions, form structure and behavior</t>
  </si>
  <si>
    <t>TC_MS_001 - TC_MS_014</t>
  </si>
  <si>
    <t>Customized Statement module (SRS 3.1.13): main functions, form structure and behavior</t>
  </si>
  <si>
    <t>TC_CS_001 - TC_CS_004, TC_CS_011 - TC_CS_014, TC_CS_025 - TC_CS_027</t>
  </si>
  <si>
    <t>BUG_036</t>
  </si>
  <si>
    <t>Change Password module (SRS 3.1.14): main functions, form structure and behavior</t>
  </si>
  <si>
    <t>TC_CP_001 - TC_CP_003, TC_CP_018 - TC_CP_022</t>
  </si>
  <si>
    <t>Summary</t>
  </si>
  <si>
    <t>Environment</t>
  </si>
  <si>
    <t>Steps</t>
  </si>
  <si>
    <t>Expected result</t>
  </si>
  <si>
    <t>Severity</t>
  </si>
  <si>
    <t>Created by</t>
  </si>
  <si>
    <t>Assigned to</t>
  </si>
  <si>
    <t>Test case ID</t>
  </si>
  <si>
    <t>Comment</t>
  </si>
  <si>
    <t>[Login] SQL injection input bypasses the login (authentication bypass)</t>
  </si>
  <si>
    <t>The login form accepts a SQL injection string as the User ID and logs the user in. Authentication can be bypassed, which exposes every Manager function.</t>
  </si>
  <si>
    <t>1. Open the Login page
2. Enter ' OR '1'='1 in User ID
3. Enter x in Password
4. Click Login</t>
  </si>
  <si>
    <t>The login is rejected (E3) and no access is granted.</t>
  </si>
  <si>
    <t>Critical</t>
  </si>
  <si>
    <t>Open</t>
  </si>
  <si>
    <t>Development Team</t>
  </si>
  <si>
    <t>TC_LG_014
(1 failed, 0 blocked)</t>
  </si>
  <si>
    <t>[Login] Protected pages can be opened directly without logging in</t>
  </si>
  <si>
    <t>A protected internal page opens when its URL is entered directly while the user is not logged in. Access control (SRS RBAC) is not enforced.</t>
  </si>
  <si>
    <t>User is not logged in; the URL of an internal page is known</t>
  </si>
  <si>
    <t>1. Make sure no user is logged in
2. Enter the URL of an internal page directly in the browser</t>
  </si>
  <si>
    <t>The user is redirected to the Login page.</t>
  </si>
  <si>
    <t>TC_LG_018
(1 failed, 0 blocked)</t>
  </si>
  <si>
    <t>[Login] Account is not locked after 3 failed login attempts</t>
  </si>
  <si>
    <t>The SRS requires the account to be locked after 3 consecutive failed logins (L4, L5). The system never locks the account, so passwords can be guessed without limit.</t>
  </si>
  <si>
    <t>Manager account is active and not locked</t>
  </si>
  <si>
    <t>1. Open the Login page
2. Enter a valid User ID and a wrong Password, click Login
3. Repeat step 2 two more times
4. Log in with the valid User ID and Password</t>
  </si>
  <si>
    <t>Attempts 1 and 2 show E3. After attempt 3 the account is locked and E55 is displayed; the valid login is rejected.</t>
  </si>
  <si>
    <t>The account was not locked after the 3 failed attempts and the lockout message (E55) was not displayed.</t>
  </si>
  <si>
    <t>User ID: mngr668217
Password: wrongpas (3 attempts), then rUqyzUv</t>
  </si>
  <si>
    <t>TC_LG_009 - TC_LG_010
(2 failed, 0 blocked)</t>
  </si>
  <si>
    <t>Test data of TC_LG_009 was corrected to use a wrong password. Please re-run TC_LG_009 and TC_LG_010 to confirm the result.</t>
  </si>
  <si>
    <t>[Login] Session is not terminated after Logout (Back button returns to the dashboard)</t>
  </si>
  <si>
    <t>After logging out, the browser Back button returns to the protected dashboard. The session stays usable after Logout.</t>
  </si>
  <si>
    <t>1. Log in as a Manager
2. Click Logout
3. Click the browser Back button</t>
  </si>
  <si>
    <t>The user cannot return to a protected page without logging in again.</t>
  </si>
  <si>
    <t>TC_LG_017
(1 failed, 0 blocked)</t>
  </si>
  <si>
    <t>BUG_005</t>
  </si>
  <si>
    <t>[Login] User ID and Password are not case-sensitive</t>
  </si>
  <si>
    <t>The login accepts the User ID in uppercase and the Password with different letter casing. The SRS requires case-sensitive credentials; this weakens password security.</t>
  </si>
  <si>
    <t>1. Open the Login page
2. Enter the User ID MNGR668217 and the correct Password, click Login
3. Enter the correct User ID and the Password RUQYZUV, click Login</t>
  </si>
  <si>
    <t>E3 is displayed and the login is rejected in both cases.</t>
  </si>
  <si>
    <t>The system accepted both logins and redirected the manager to the dashboard.</t>
  </si>
  <si>
    <t>User ID: MNGR668217 / Password: rUqyzUv
User ID: mngr668217 / Password: RUQYZUV</t>
  </si>
  <si>
    <t>TC_LG_007 - TC_LG_008
(2 failed, 0 blocked)</t>
  </si>
  <si>
    <t>[Login] Invalid login shows "User is not valid" instead of the SRS message E3</t>
  </si>
  <si>
    <t>For an unknown User ID or a wrong Password the system shows an alert with different wording from the message defined in the SRS.</t>
  </si>
  <si>
    <t>1. Open the Login page
2. Enter an invalid User ID or a wrong Password
3. Click Login</t>
  </si>
  <si>
    <t>E3: "User ID and Password do not match" is displayed.</t>
  </si>
  <si>
    <t>The alert "User is not valid" was displayed and the login was rejected.</t>
  </si>
  <si>
    <t>User ID: ghost999 / Password: Pass@123
User ID: mngr668217 / Password: wrongpas</t>
  </si>
  <si>
    <t>TC_LG_005 - TC_LG_006
(2 failed, 0 blocked)</t>
  </si>
  <si>
    <t>BUG_007</t>
  </si>
  <si>
    <t>[Login] Login field length limits differ from the SRS (User ID max 10, Password unlimited)</t>
  </si>
  <si>
    <t>The SRS defines a maximum of 30 characters for User ID and Password. The User ID field accepts only 10 characters and the Password field has no limit.</t>
  </si>
  <si>
    <t>1. Open the Login page
2. Type 30 characters in User ID and in Password
3. Type 31 characters in both fields</t>
  </si>
  <si>
    <t>30 characters are accepted; the 31st character is rejected or truncated.</t>
  </si>
  <si>
    <t>30-character and 31-character strings</t>
  </si>
  <si>
    <t>TC_LG_013
(1 failed, 0 blocked)</t>
  </si>
  <si>
    <t>[New Customer] No age validation: customers under 18 and a future date of birth are accepted</t>
  </si>
  <si>
    <t>The SRS requires customers to be 18 or older (E58). The form creates customers aged 17, aged 10 and with a future date of birth without any error.</t>
  </si>
  <si>
    <t>Logged in as a Manager
New Customer page is open</t>
  </si>
  <si>
    <t>1. Open New Customer
2. Fill all fields with valid data and set the Date of Birth to a date that makes the customer under 18 (or a future date)
3. Click Submit</t>
  </si>
  <si>
    <t>E58 "Age must be 18 years or above" is displayed and no customer is created.</t>
  </si>
  <si>
    <t>Customers were created with Customer IDs 52817 (17 years old), 27595 (10 years old) and 69229 (future date of birth); no error message was displayed.</t>
  </si>
  <si>
    <t>Date of Birth: (Execution date - 18 years) + 1 day; Execution date - 10 years; tomorrow</t>
  </si>
  <si>
    <t>TC_NC_016 - TC_NC_018
(3 failed, 0 blocked)</t>
  </si>
  <si>
    <t>[New Customer] Mobile number length is not validated (9 and 11 digits are accepted)</t>
  </si>
  <si>
    <t>E59 requires a 10-digit mobile number, but customers are created with 9-digit and 11-digit numbers.</t>
  </si>
  <si>
    <t>1. Open New Customer
2. Fill all fields with valid data and enter a 9-digit (or 11-digit) Mobile Number
3. Click Submit</t>
  </si>
  <si>
    <t>E59 "Mobile number must be 10 digits" is displayed and no customer is created.</t>
  </si>
  <si>
    <t>Customers were created with IDs 33471 (9 digits) and 78251 (11 digits); no error message was displayed.</t>
  </si>
  <si>
    <t>Mobile Number: 555123456; 55512345678</t>
  </si>
  <si>
    <t>TC_NC_036 - TC_NC_037
(2 failed, 0 blocked)</t>
  </si>
  <si>
    <t>[New Customer] Password rules are not enforced (5-character and 31-character passwords accepted)</t>
  </si>
  <si>
    <t>The SRS defines a password of 6 to 30 characters. A 5-character password and a 31-character password are accepted.</t>
  </si>
  <si>
    <t>1. Open New Customer
2. Fill all fields with valid data and enter a 5-character (or 31-character) Password
3. Click Submit</t>
  </si>
  <si>
    <t>The password is rejected with an error and no customer is created.</t>
  </si>
  <si>
    <t>A customer was created with a 5-character password (Customer ID 790); the 30-character and 31-character passwords were both accepted.</t>
  </si>
  <si>
    <t>Password: Ab@12; 31 characters</t>
  </si>
  <si>
    <t>TC_NC_044, TC_NC_046
(2 failed, 0 blocked)</t>
  </si>
  <si>
    <t>[New Customer] Gender cannot be left unselected (a default gender is selected)</t>
  </si>
  <si>
    <t>A gender is selected by default, so the mandatory-selection rule (NC20) cannot be tested and the user may submit a gender they did not choose.</t>
  </si>
  <si>
    <t>1. Open New Customer
2. Check the Gender field</t>
  </si>
  <si>
    <t>No gender is selected by default and an error is displayed if none is chosen.</t>
  </si>
  <si>
    <t>Gender: (none selected)</t>
  </si>
  <si>
    <t>TC_NC_012
(1 failed, 0 blocked)</t>
  </si>
  <si>
    <t>BUG_012</t>
  </si>
  <si>
    <t>[New Customer] Field maximum lengths are shorter than the SRS (Name 25, Address 50, City/State 25, Email 25)</t>
  </si>
  <si>
    <t>The fields stop accepting characters earlier than the lengths defined in the SRS (Name 50, Address 200, City 50, State 50, Email 50), so valid long values cannot be entered.</t>
  </si>
  <si>
    <t>1. Open New Customer
2. Type the maximum length defined in the SRS in Name, Address, City, State and Email</t>
  </si>
  <si>
    <t>Name, City, State and Email accept 50 characters and Address accepts 200 characters.</t>
  </si>
  <si>
    <t>Customer Name accepts a maximum of 25 characters, Address 50, City and State 25 and Email 25.</t>
  </si>
  <si>
    <t>50-letter, 200-character and 51-letter strings</t>
  </si>
  <si>
    <t>TC_NC_011, TC_NC_023, TC_NC_029, TC_NC_042
(4 failed, 0 blocked)</t>
  </si>
  <si>
    <t>[Edit Customer] No confirmation after updating a customer; an empty white page is displayed</t>
  </si>
  <si>
    <t>After a customer is updated, the manager is redirected to an empty white page with no success or error message, so the result of the update is unclear.</t>
  </si>
  <si>
    <t>Logged in as a Manager
Customer 4073 exists
Edit Customer page is open</t>
  </si>
  <si>
    <t>1. Open Edit Customer
2. Enter Customer ID 4073 and click Submit
3. Change one or more editable fields
4. Click Submit</t>
  </si>
  <si>
    <t>A confirmation message is displayed after a successful update.</t>
  </si>
  <si>
    <t>Customer ID: 4073
Address: 45 Park Avenue; City: Cairo; State: Cairo; PIN Code: 654321; Mobile Number: 5559876543; Email: john.edit10@test.com</t>
  </si>
  <si>
    <t>TC_EC_010, TC_EC_013, TC_EC_033, TC_EC_036
(4 failed, 0 blocked)</t>
  </si>
  <si>
    <t>TC_EC_012 (Pass) shows the same missing success message.</t>
  </si>
  <si>
    <t>BUG_014</t>
  </si>
  <si>
    <t>[Edit Customer] Address is not validated on update (blank and special characters are saved)</t>
  </si>
  <si>
    <t>Edit Customer saves a blank address and an address made of special characters without any error. The same validations as New Customer are required (EC6).</t>
  </si>
  <si>
    <t>1. Open Edit Customer and load customer 4073
2. Clear the Address (or enter @#$%^&amp;)
3. Click Submit</t>
  </si>
  <si>
    <t>E5 is displayed for a blank address and special characters are rejected; the address is not changed.</t>
  </si>
  <si>
    <t>The address was changed to blank and to "@#$%^&amp;" and no error message was displayed.</t>
  </si>
  <si>
    <t>Address: (empty); @#$%^&amp;</t>
  </si>
  <si>
    <t>TC_EC_014 - TC_EC_015
(2 failed, 0 blocked)</t>
  </si>
  <si>
    <t>BUG_015</t>
  </si>
  <si>
    <t>[Edit Customer] City and State are not validated on update (blank, numbers and special characters are saved)</t>
  </si>
  <si>
    <t>Edit Customer saves a blank City or State and values containing numbers or special characters without any error.</t>
  </si>
  <si>
    <t>1. Open Edit Customer and load customer 4073
2. Enter a blank, numeric or special-character value in City or State
3. Click Submit</t>
  </si>
  <si>
    <t>E6 / E7 are displayed for blank values and E48 for numbers; special characters are rejected; nothing is saved.</t>
  </si>
  <si>
    <t>City and State were changed to blank, "Cairo123", "Cairo@#" and "Giza12"; no error message was displayed and the system redirected the manager to an empty white page.</t>
  </si>
  <si>
    <t>City: (empty); Cairo123; Cairo@#
State: (empty); Giza12</t>
  </si>
  <si>
    <t>TC_EC_017 - TC_EC_021
(5 failed, 0 blocked)</t>
  </si>
  <si>
    <t>BUG_016</t>
  </si>
  <si>
    <t>[Edit Customer] PIN Code is not validated on update (blank, non-numeric and 5-digit values are saved)</t>
  </si>
  <si>
    <t>Edit Customer saves a blank PIN, a non-numeric PIN and a PIN shorter than 6 digits. A 7-digit PIN is silently cut to 6 digits.</t>
  </si>
  <si>
    <t>1. Open Edit Customer and load customer 4073
2. Enter a blank, non-numeric, 5-digit or 7-digit PIN Code
3. Click Submit</t>
  </si>
  <si>
    <t>E8, E9 and E10 are displayed and the PIN is not changed.</t>
  </si>
  <si>
    <t>The PIN was changed to blank, "12@#56" and "12345"; the 7-digit value was saved as "123456". No error message was displayed and the system redirected the manager to an empty white page.</t>
  </si>
  <si>
    <t>PIN Code: (empty); 12AB56; 12@#56; 12345; 1234567</t>
  </si>
  <si>
    <t>TC_EC_023 - TC_EC_026
(4 failed, 0 blocked)</t>
  </si>
  <si>
    <t>BUG_017</t>
  </si>
  <si>
    <t>[Edit Customer] Mobile Number is not validated on update (blank, non-numeric, 9 and 11 digits are saved)</t>
  </si>
  <si>
    <t>Edit Customer saves a blank, non-numeric, 9-digit and 11-digit mobile number without any error.</t>
  </si>
  <si>
    <t>1. Open Edit Customer and load customer 4073
2. Enter a blank, non-numeric, 9-digit or 11-digit Mobile Number
3. Click Submit</t>
  </si>
  <si>
    <t>E11, E12 and E59 are displayed and the mobile number is not changed.</t>
  </si>
  <si>
    <t>The mobile number was changed to blank, "555123@#90", "555123456" and "55512345678"; no error message was displayed and the system redirected the manager to an empty white page.</t>
  </si>
  <si>
    <t>Mobile Number: (empty); 55512ABC90; 555123@#90; 555123456; 55512345678</t>
  </si>
  <si>
    <t>TC_EC_027 - TC_EC_030
(4 failed, 0 blocked)</t>
  </si>
  <si>
    <t>BUG_018</t>
  </si>
  <si>
    <t>[Edit Customer] Email is not validated on update (blank and invalid formats are saved)</t>
  </si>
  <si>
    <t>Edit Customer saves a blank email and invalid email formats without any error.</t>
  </si>
  <si>
    <t>1. Open Edit Customer and load customer 4073
2. Enter a blank or invalid Email (for example john.smith or john@)
3. Click Submit</t>
  </si>
  <si>
    <t>E13 is displayed for a blank email and E14 for an invalid format; the email is not changed.</t>
  </si>
  <si>
    <t>The email was changed to blank and to the last invalid value; no error message was displayed and the system redirected the manager to an empty white page.</t>
  </si>
  <si>
    <t>Email: (empty); john.smith; john@; @test.com; john@test; john smith@test.com</t>
  </si>
  <si>
    <t>TC_EC_031 - TC_EC_032
(2 failed, 0 blocked)</t>
  </si>
  <si>
    <t>BUG_019</t>
  </si>
  <si>
    <t>[Edit Customer] Duplicate email accepted on update (E49 is not enforced)</t>
  </si>
  <si>
    <t>A customer email can be changed to an email that already belongs to another customer, so email uniqueness (EC5) is not enforced.</t>
  </si>
  <si>
    <t>Logged in as a Manager
Customer 4073 exists
Another customer already uses the email a1a@gmail.com</t>
  </si>
  <si>
    <t>1. Open Edit Customer and load customer 4073
2. Enter the email of another customer
3. Click Submit</t>
  </si>
  <si>
    <t>E49 "Customer with this email already exists" is displayed and the email is not changed.</t>
  </si>
  <si>
    <t>The email was changed to "a1a@gmail.com" and to "JOHN.SMITH04B@TEST.COM" and the duplicate-email error (E49) was not displayed.</t>
  </si>
  <si>
    <t>Email: a1a@gmail.com; JOHN.SMITH04B@TEST.COM</t>
  </si>
  <si>
    <t>TC_EC_034 - TC_EC_035
(2 failed, 0 blocked)</t>
  </si>
  <si>
    <t>Please confirm which customer owns a1a@gmail.com (see the note on TC_EC_034).</t>
  </si>
  <si>
    <t>BUG_020</t>
  </si>
  <si>
    <t>[Edit Customer] Invalid values are saved when several fields are invalid (rejected update still changes data)</t>
  </si>
  <si>
    <t>When invalid values are submitted together, they are all stored. A rejected update must not change the stored customer data.</t>
  </si>
  <si>
    <t>1. Open Edit Customer and load customer 4073
2. Enter invalid PIN, Mobile Number and Email
3. Click Submit
4. Reload the customer</t>
  </si>
  <si>
    <t>E10, E12 and E14 are displayed and the stored data is unchanged.</t>
  </si>
  <si>
    <t>The PIN, mobile number and email were changed to the invalid values; no error message was displayed and the system redirected the manager to an empty white page.</t>
  </si>
  <si>
    <t>PIN Code: 123
Mobile Number: abc
Email: xyz</t>
  </si>
  <si>
    <t>TC_EC_038 - TC_EC_039
(2 failed, 0 blocked)</t>
  </si>
  <si>
    <t>BUG_021</t>
  </si>
  <si>
    <t>[Edit Customer] Field maximum lengths are shorter than the SRS (Address 50, City/State 25, Email 30)</t>
  </si>
  <si>
    <t>The editable fields stop accepting characters earlier than the lengths defined in the SRS.</t>
  </si>
  <si>
    <t>1. Open Edit Customer and load customer 4073
2. Type the maximum length defined in the SRS in Address, City, State and Email</t>
  </si>
  <si>
    <t>Address accepts 200 characters; City, State and Email accept 50 characters.</t>
  </si>
  <si>
    <t>The Address field accepts a maximum of 50 characters, City and State 25 and Email 30.</t>
  </si>
  <si>
    <t>200-character and 50-character strings</t>
  </si>
  <si>
    <t>TC_EC_016, TC_EC_022, TC_EC_037
(3 failed, 0 blocked)</t>
  </si>
  <si>
    <t>[Delete Customer] "This page isn't working" error page after deleting a customer; no confirmation message</t>
  </si>
  <si>
    <t>Deleting a customer ends on an error page with no success or error message, so the manager cannot tell whether the deletion worked.</t>
  </si>
  <si>
    <t>Logged in as a Manager
Customer 4073 exists, has no accounts and is associated with the Manager</t>
  </si>
  <si>
    <t>1. Open Delete Customer
2. Enter Customer ID 4073
3. Click Delete and confirm the dialog</t>
  </si>
  <si>
    <t>A success message is displayed after the customer is deleted.</t>
  </si>
  <si>
    <t>TC_DC_001, TC_DC_014
(2 failed, 0 blocked)</t>
  </si>
  <si>
    <t>TC_DC_002, TC_DC_004 and TC_DC_005 (marked Pass) show the same error page.</t>
  </si>
  <si>
    <t>BUG_023</t>
  </si>
  <si>
    <t>[New Account] Customer ID field does not limit the input to 10 digits</t>
  </si>
  <si>
    <t>An 11-digit Customer ID can be typed and submitted; the SRS limits the field to 10 characters.</t>
  </si>
  <si>
    <t>Logged in as a Manager
New Account page is open</t>
  </si>
  <si>
    <t>1. Open New Account
2. Enter an 11-digit Customer ID
3. Select Savings and enter 1000
4. Click Submit</t>
  </si>
  <si>
    <t>Only 10 digits can be entered.</t>
  </si>
  <si>
    <t>Customer ID: 12345678901
Account Type: Savings
Initial Deposit: 1000</t>
  </si>
  <si>
    <t>TC_NA_013
(1 failed, 0 blocked)</t>
  </si>
  <si>
    <t>BUG_024</t>
  </si>
  <si>
    <t>[New Account] Decimal Initial Deposit is rejected with a misleading "must be numeric" message</t>
  </si>
  <si>
    <t>The value 500.50 is numeric but is rejected with E19 "Initial Deposit must be numeric". The SRS does not define decimals, so the behavior and message should be clarified.</t>
  </si>
  <si>
    <t>Logged in as a Manager
Customer 38892 exists
New Account page is open</t>
  </si>
  <si>
    <t>1. Open New Account
2. Enter Customer ID 38892 and select Savings
3. Enter 500.50 as Initial Deposit
4. Click Submit</t>
  </si>
  <si>
    <t>The account is created with balance 500.50, or a clear error explains why decimals are not allowed.</t>
  </si>
  <si>
    <t>Customer ID: 38892
Account Type: Savings
Initial Deposit: 500.50</t>
  </si>
  <si>
    <t>TC_NA_022
(1 failed, 0 blocked)</t>
  </si>
  <si>
    <t>BUG_025</t>
  </si>
  <si>
    <t>[New Account] Initial Deposit field accepts a maximum of 8 digits</t>
  </si>
  <si>
    <t>The Initial Deposit field stops accepting digits after 8, so the very-large-value case cannot be tested and the length differs from the SRS (20).</t>
  </si>
  <si>
    <t>1. Open New Account
2. Type a 20-digit value in Initial Deposit</t>
  </si>
  <si>
    <t>The field accepts up to 20 characters, or a clear error is displayed for a value that is too large.</t>
  </si>
  <si>
    <t>Initial Deposit: 99999999999999999999 (20 digits)</t>
  </si>
  <si>
    <t>TC_NA_025
(1 failed, 0 blocked)</t>
  </si>
  <si>
    <t>[Edit Account] "This page isn't working" error page after submitting an Account Number in Edit Account</t>
  </si>
  <si>
    <t>Edit Account cannot be used: a valid Account Number leads to an error page, so account details can never be loaded or edited. All dependent tests are blocked.</t>
  </si>
  <si>
    <t>Logged in as a Manager
Account 185657 (Savings) exists</t>
  </si>
  <si>
    <t>1. Open Edit Account
2. Enter Account Number 185657
3. Click Submit</t>
  </si>
  <si>
    <t>The account details are displayed in an editable form.</t>
  </si>
  <si>
    <t>TC_EA_001 - TC_EA_008, TC_EA_010 - TC_EA_015
(1 failed, 13 blocked)</t>
  </si>
  <si>
    <t>[Delete Account] "This page isn't working" error page after submitting an Account Number in Delete Account</t>
  </si>
  <si>
    <t>Delete Account ends on an error page for valid account numbers, so deletion and its business rules (E53) cannot be verified.</t>
  </si>
  <si>
    <t>Logged in as a Manager
Account 185657 (balance 1000.00) exists</t>
  </si>
  <si>
    <t>1. Open Delete Account
2. Enter Account Number 185657
3. Click Delete</t>
  </si>
  <si>
    <t>E53 "Account balance must be zero to delete" is displayed for an account with a positive balance.</t>
  </si>
  <si>
    <t>Account Number: 185657 (balance 1000.00)</t>
  </si>
  <si>
    <t>TC_DA_004 - TC_DA_005, TC_DA_010 - TC_DA_013
(4 failed, 2 blocked)</t>
  </si>
  <si>
    <t>[Deposit] "This page isn't working" error page after submitting a deposit</t>
  </si>
  <si>
    <t>A valid deposit ends on an error page, so deposits cannot be confirmed and all deposit validations, balance checks and statements that depend on it cannot be tested.</t>
  </si>
  <si>
    <t>Logged in as a Manager
Account 185657 exists</t>
  </si>
  <si>
    <t>1. Open Deposit
2. Enter Account Number 185657, Amount 500 and Description "Salary deposit"
3. Click Submit</t>
  </si>
  <si>
    <t>The deposit succeeds; the updated balance and a Transaction ID are displayed.</t>
  </si>
  <si>
    <t>TC_DP_001 - TC_DP_003, TC_DP_008 - TC_DP_009, TC_DP_012 - TC_DP_017, TC_DP_020, TC_DP_022 - TC_DP_024, TC_DP_026 - TC_DP_027
(1 failed, 16 blocked)</t>
  </si>
  <si>
    <t>BUG_029</t>
  </si>
  <si>
    <t>[Deposit] Description field accepts a maximum of 10 characters (SRS: 200)</t>
  </si>
  <si>
    <t>The Description field is far shorter than the 200 characters required by the SRS, so normal descriptions are cut and the XSS test could not be completed.</t>
  </si>
  <si>
    <t>Logged in as a Manager
Deposit page is open</t>
  </si>
  <si>
    <t>1. Open Deposit
2. Type a 200-character text (and a script tag) in Description</t>
  </si>
  <si>
    <t>Description accepts 200 characters.</t>
  </si>
  <si>
    <t>Description: 200-character and 201-character texts; &lt;script&gt;alert('x')&lt;/script&gt;</t>
  </si>
  <si>
    <t>TC_DP_019, TC_DP_021
(2 failed, 0 blocked)</t>
  </si>
  <si>
    <t>[Withdrawal] No success or failure message after submitting a withdrawal</t>
  </si>
  <si>
    <t>After a withdrawal is submitted the system shows no result message, so the manager cannot know whether it succeeded. Amount boundaries, zero, negative and decimal values cannot be verified.</t>
  </si>
  <si>
    <t>Logged in as a Manager
Account 185657 exists with a known balance B</t>
  </si>
  <si>
    <t>1. Open Withdrawal
2. Enter Account Number 185657, an Amount and a Description
3. Click Submit</t>
  </si>
  <si>
    <t>A success message, or the relevant error (for example E42 for insufficient balance), is displayed.</t>
  </si>
  <si>
    <t>Account Number: 185657
Amount: B; B - 1; B + 1; 1; 0.01; 0; -100; 100.50; 100.555
Description: ATM withdrawal</t>
  </si>
  <si>
    <t>TC_WD_006 - TC_WD_010, TC_WD_018 - TC_WD_021, TC_WD_026, TC_WD_028
(11 failed, 0 blocked)</t>
  </si>
  <si>
    <t>BUG_031</t>
  </si>
  <si>
    <t>[Withdrawal] Description field accepts a maximum of 10 characters (SRS: 200)</t>
  </si>
  <si>
    <t>Logged in as a Manager
Withdrawal page is open</t>
  </si>
  <si>
    <t>1. Open Withdrawal
2. Type a 200-character text (and a script tag) in Description</t>
  </si>
  <si>
    <t>TC_WD_024 - TC_WD_025
(2 failed, 0 blocked)</t>
  </si>
  <si>
    <t>[Fund Transfer] Empty page showing only the "Fund transfer details" title after submitting a transfer</t>
  </si>
  <si>
    <t>A transfer request ends on an empty page with no success or error message. The result of every transfer is unknown, so balances, statements and boundary rules cannot be verified.</t>
  </si>
  <si>
    <t>Logged in as a Manager
Payer account 185671 and payee account 185672 exist</t>
  </si>
  <si>
    <t>1. Open Fund Transfer
2. Enter Payer 185671, Payee 185672, Amount 100 and Description "Rent payment"
3. Click Submit</t>
  </si>
  <si>
    <t>The transfer succeeds, the balances change and a confirmation is displayed.</t>
  </si>
  <si>
    <t>TC_FT_001 - TC_FT_006, TC_FT_017 - TC_FT_020, TC_FT_024 - TC_FT_027, TC_FT_029, TC_FT_031
(16 failed, 0 blocked)</t>
  </si>
  <si>
    <t>TC_FT_027 (Reset) and TC_FT_031 (SQL injection) need their actual results to be confirmed (see the notes on those cells).</t>
  </si>
  <si>
    <t>BUG_033</t>
  </si>
  <si>
    <t>[Fund Transfer] Description field accepts a maximum of 20 characters</t>
  </si>
  <si>
    <t>The Description field is too short for normal descriptions and the XSS test could not be completed.</t>
  </si>
  <si>
    <t>Logged in as a Manager
Fund Transfer page is open</t>
  </si>
  <si>
    <t>1. Open Fund Transfer
2. Type a long text (and a script tag) in Description</t>
  </si>
  <si>
    <t>Long descriptions are accepted (up to 200 characters).</t>
  </si>
  <si>
    <t>Description: long text; &lt;script&gt;alert('x')&lt;/script&gt;</t>
  </si>
  <si>
    <t>TC_FT_022, TC_FT_030
(2 failed, 0 blocked)</t>
  </si>
  <si>
    <t>[Balance Enquiry] "This page isn't working" error page after submitting an Account Number in Balance Enquiry</t>
  </si>
  <si>
    <t>Balance Enquiry fails with an error page for valid and non-existent account numbers, so no balance can be checked. Every test that verifies a balance after another operation is affected.</t>
  </si>
  <si>
    <t>Logged in as a Manager
Account 185674 exists</t>
  </si>
  <si>
    <t>1. Open Balance Enquiry
2. Enter Account Number 185674
3. Click Submit</t>
  </si>
  <si>
    <t>The current balance and the account details are displayed.</t>
  </si>
  <si>
    <t>TC_BE_001 - TC_BE_007, TC_BE_011, TC_BE_014; TC_NA_007; TC_WD_002
(6 failed, 5 blocked)</t>
  </si>
  <si>
    <t>Also affects TC_NA_007 and TC_WD_002, which verify balances through this page.</t>
  </si>
  <si>
    <t>[Mini Statement] Empty white page after submitting an Account Number in Mini Statement</t>
  </si>
  <si>
    <t>Mini Statement shows an empty white page for valid accounts, so transactions cannot be viewed and all statement content rules cannot be tested.</t>
  </si>
  <si>
    <t>Logged in as a Manager
Account 185674 has transactions</t>
  </si>
  <si>
    <t>1. Open Mini Statement
2. Enter Account Number 185674
3. Click Submit</t>
  </si>
  <si>
    <t>The last 5 transactions of the account are displayed.</t>
  </si>
  <si>
    <t>TC_MS_001 - TC_MS_014; TC_WD_003, TC_WD_011
(11 failed, 5 blocked)</t>
  </si>
  <si>
    <t>Also affects TC_WD_003 and TC_WD_011, which verify transactions through this page.</t>
  </si>
  <si>
    <t>[Customized Statement] Empty white page after submitting valid statement criteria</t>
  </si>
  <si>
    <t>Customized Statement shows an empty white page for valid requests (date ranges, filters), so no statement can be produced.</t>
  </si>
  <si>
    <t>1. Open Customized Statement
2. Enter Account Number 185674 and a valid From Date and To Date
3. Click Submit</t>
  </si>
  <si>
    <t>The transactions of the account inside the date range are displayed.</t>
  </si>
  <si>
    <t>Account Number: 185674
From Date: Execution date - 7 days
To Date: Execution date</t>
  </si>
  <si>
    <t>TC_CS_001 - TC_CS_004, TC_CS_010 - TC_CS_014, TC_CS_017, TC_CS_025
(11 failed, 0 blocked)</t>
  </si>
  <si>
    <t>[Customized Statement] Date validations are missing (From Date later than To Date, blank dates and invalid dates are accepted)</t>
  </si>
  <si>
    <t>The SRS requires E30, E31, E32 and E57 for invalid dates. None of these errors is displayed.</t>
  </si>
  <si>
    <t>Logged in as a Manager
Customized Statement page is open</t>
  </si>
  <si>
    <t>1. Open Customized Statement
2. Enter Account Number 185674
3. Enter a From Date later than the To Date (or leave a date blank, or enter an invalid date)
4. Click Submit</t>
  </si>
  <si>
    <t>E32, E30, E31 or E57 is displayed.</t>
  </si>
  <si>
    <t>The system accepted the dates; the errors E30, E31, E32 and E57 were not displayed.</t>
  </si>
  <si>
    <t>From Date: Execution date; To Date: Execution date - 7 days
From Date: (empty); To Date: (empty)
From Date: 31/02/2025; abc</t>
  </si>
  <si>
    <t>TC_CS_005 - TC_CS_009
(5 failed, 0 blocked)</t>
  </si>
  <si>
    <t>BUG_038</t>
  </si>
  <si>
    <t>[Customized Statement] Minimum Transaction Value and Number of Transactions accept zero, negative and decimal values without any message</t>
  </si>
  <si>
    <t>Zero, negative and decimal values are accepted and no error or explanation is displayed (the SRS does not define these cases).</t>
  </si>
  <si>
    <t>1. Open Customized Statement
2. Enter valid account and dates
3. Enter 0, -100 or 100.50 as Min Transaction Value (or 0 / -3 as Number of Transactions)
4. Click Submit</t>
  </si>
  <si>
    <t>A clear error is displayed, or the values are handled consistently.</t>
  </si>
  <si>
    <t>Min Transaction Value: 0; -100; 100.50
Number of Transactions: 0; -3</t>
  </si>
  <si>
    <t>TC_CS_018 - TC_CS_020
(3 failed, 0 blocked)</t>
  </si>
  <si>
    <t>[Customized Statement] Account Number validations (E21, E22, E24, E44) are not working</t>
  </si>
  <si>
    <t>Blank, non-numeric, non-existent and another Manager's account numbers do not produce the expected errors in Customized Statement.</t>
  </si>
  <si>
    <t>1. Open Customized Statement
2. Enter a blank, non-numeric, non-existent or another Manager's Account Number with valid dates
3. Click Submit</t>
  </si>
  <si>
    <t>E21, E22, E24 or E44 is displayed.</t>
  </si>
  <si>
    <t>The expected error messages were not displayed (the actual results recorded for these tests equal the expected results; please confirm).</t>
  </si>
  <si>
    <t>Account Number: (empty); ABC123; 12@#45; 999999999999999; an account of a Manager 2 customer</t>
  </si>
  <si>
    <t>TC_CS_021 - TC_CS_024
(4 failed, 0 blocked)</t>
  </si>
  <si>
    <t>Actual results of these tests need to be confirmed (see the notes on those cells).</t>
  </si>
  <si>
    <t>[Change Password] Password length rules are not enforced (5-character and 31-character passwords accepted)</t>
  </si>
  <si>
    <t>Change Password accepts a 5-character password and a 31-character password, although the SRS requires at least 6 characters (CP4) and the login allows 30.</t>
  </si>
  <si>
    <t>Logged in as a Manager</t>
  </si>
  <si>
    <t>1. Open Change Password
2. Enter the current password
3. Enter a 5-character (or 31-character) New Password and the same Confirm Password
4. Click Submit</t>
  </si>
  <si>
    <t>The 5-character and 31-character passwords are rejected with an error.</t>
  </si>
  <si>
    <t>The 5-character password was accepted, and both the 30-character and the 31-character passwords were accepted; the password was changed each time.</t>
  </si>
  <si>
    <t>New Password: Ab@12; 30 characters; 31 characters</t>
  </si>
  <si>
    <t>TC_CP_010, TC_CP_015
(2 failed, 0 blocked)</t>
  </si>
  <si>
    <t>BUG_041</t>
  </si>
  <si>
    <t>[Change Password] Password containing spaces is accepted</t>
  </si>
  <si>
    <t>A new password containing spaces is accepted. The SRS does not define allowed characters; the behavior should be confirmed.</t>
  </si>
  <si>
    <t>1. Open Change Password
2. Enter the current password
3. Enter "P@ss word 1" as New Password and Confirm Password
4. Click Submit</t>
  </si>
  <si>
    <t>The behavior is consistent: the password is rejected, or it is accepted and works at the next login.</t>
  </si>
  <si>
    <t>New Password: P@ss word 1</t>
  </si>
  <si>
    <t>TC_CP_017
(1 failed, 0 blocked)</t>
  </si>
  <si>
    <t>Test Case ID</t>
  </si>
  <si>
    <t>Bug ID</t>
  </si>
  <si>
    <t>Bug summary / reason</t>
  </si>
  <si>
    <t>Not a defect: an invalid date cannot be entered in the Date of Birth date-picker field.</t>
  </si>
  <si>
    <t>The test is marked Blocked, but the system displayed a message for a customer of another Manager. Please confirm the result.</t>
  </si>
  <si>
    <t>Not a defect: Savings is selected by default, so Account Type cannot be left empty and E17 cannot be triggered.</t>
  </si>
  <si>
    <t>Cannot be executed: an account with a zero balance cannot be created (minimum initial deposit is 500).</t>
  </si>
  <si>
    <t>Test Summary Report</t>
  </si>
  <si>
    <t>Guru99 Bank - Manual Functional Testing</t>
  </si>
  <si>
    <t>1. Test overview</t>
  </si>
  <si>
    <t>User roles tested</t>
  </si>
  <si>
    <t>Application under test</t>
  </si>
  <si>
    <t>Tester</t>
  </si>
  <si>
    <t>Amjad Alrays</t>
  </si>
  <si>
    <t>Report date</t>
  </si>
  <si>
    <t>13 Oct 2026</t>
  </si>
  <si>
    <t>2. Overall results</t>
  </si>
  <si>
    <t>Total test cases</t>
  </si>
  <si>
    <t>Passed</t>
  </si>
  <si>
    <t>Failed</t>
  </si>
  <si>
    <t>Not Applicable</t>
  </si>
  <si>
    <t>Not Executed</t>
  </si>
  <si>
    <t>Executed (Pass + Fail)</t>
  </si>
  <si>
    <t>Execution rate (Pass + Fail of total)</t>
  </si>
  <si>
    <t>Pass rate (of executed)</t>
  </si>
  <si>
    <t>Pass rate (of total)</t>
  </si>
  <si>
    <t>3. Results by module</t>
  </si>
  <si>
    <t>Name</t>
  </si>
  <si>
    <t>Total</t>
  </si>
  <si>
    <t>Executed %</t>
  </si>
  <si>
    <t>Pass % (of executed)</t>
  </si>
  <si>
    <t>Pass % (of total)</t>
  </si>
  <si>
    <t>LG</t>
  </si>
  <si>
    <t>NC</t>
  </si>
  <si>
    <t>EC</t>
  </si>
  <si>
    <t>DC</t>
  </si>
  <si>
    <t>NA</t>
  </si>
  <si>
    <t>EA</t>
  </si>
  <si>
    <t>DA</t>
  </si>
  <si>
    <t>DP</t>
  </si>
  <si>
    <t>WD</t>
  </si>
  <si>
    <t>FT</t>
  </si>
  <si>
    <t>BE</t>
  </si>
  <si>
    <t>MS</t>
  </si>
  <si>
    <t>CS</t>
  </si>
  <si>
    <t>CP</t>
  </si>
  <si>
    <t>4. Results by priority</t>
  </si>
  <si>
    <t>5. Requirements coverage (RTM)</t>
  </si>
  <si>
    <t>Requirements</t>
  </si>
  <si>
    <t>Partially executed</t>
  </si>
  <si>
    <t>Not covered</t>
  </si>
  <si>
    <t>Total requirements</t>
  </si>
  <si>
    <t>Covered by at least one test case</t>
  </si>
  <si>
    <t>6. Defect summary</t>
  </si>
  <si>
    <t>Total defects logged</t>
  </si>
  <si>
    <t>Failed / blocked tests covered by a defect</t>
  </si>
  <si>
    <t>In Progress</t>
  </si>
  <si>
    <t>Fixed</t>
  </si>
  <si>
    <t>Retest</t>
  </si>
  <si>
    <t>Closed</t>
  </si>
  <si>
    <t>Rejected</t>
  </si>
  <si>
    <t>Defects by module</t>
  </si>
  <si>
    <t>Defects</t>
  </si>
  <si>
    <t>7. Exit criteria</t>
  </si>
  <si>
    <t>Criterion (Test Plan)</t>
  </si>
  <si>
    <t>Result</t>
  </si>
  <si>
    <t>Evidence</t>
  </si>
  <si>
    <t>Planned test cases executed</t>
  </si>
  <si>
    <t>Defects documented</t>
  </si>
  <si>
    <t>Every SRS requirement is covered by a test case</t>
  </si>
  <si>
    <t>No open Critical defects (quality gate)</t>
  </si>
  <si>
    <t>8. Conclusion</t>
  </si>
  <si>
    <t>9. Key findings</t>
  </si>
  <si>
    <t>- Core banking operations could not be completed on the tested site: Deposit, Balance Enquiry and Fund Transfer end on an error page, a blank page or without any message, which blocked the dependent balance, statement and validation tests.</t>
  </si>
  <si>
    <t>- Mini Statement, Customized Statement, Edit Account and Delete Account also fail for valid input, and Withdrawal does not show whether a withdrawal succeeded.</t>
  </si>
  <si>
    <t>- Security: the login can be bypassed with SQL injection input, protected pages open without authentication, accounts are not locked after 3 failed attempts, the session survives Logout and credentials are not case-sensitive.</t>
  </si>
  <si>
    <t>- Validation: Edit Customer, Customized Statement and Change Password do not enforce the SRS rules (invalid, blank and duplicate values are saved); New Customer accepts customers under 18 and invalid mobile/password lengths.</t>
  </si>
  <si>
    <t>- Several input fields are shorter than the SRS lengths (Name 25, Address 50, City/State 25, Description 10-20, Initial Deposit 8 digits), and the Description limit prevented the XSS tests in Deposit, Withdrawal and Fund Transfer.</t>
  </si>
  <si>
    <t>- Basic input validations (blank and non-numeric values) pass in most modules, for example New Customer, New Account, Deposit, Withdrawal, Fund Transfer and Mini Statement.</t>
  </si>
  <si>
    <t>10. Limitations and coverage gaps</t>
  </si>
  <si>
    <t>- Tests that needed a second Manager account, an account with a zero balance or data that depends on a broken page were Blocked or could not be completed (see the Failed-Blocked Tests sheet and Test Data Setup).</t>
  </si>
  <si>
    <t>- No test case covers a login as Customer, the 15-minute session timeout or the Customer-role rules FT12, MS5 and CS9 (see the RTM sheet), so the Customer role was not exercised.</t>
  </si>
  <si>
    <t>- Performance and stress testing, automation and non-functional checks are out of scope according to the Test Plan.</t>
  </si>
  <si>
    <t>- Results come from a shared public demo site that is not the application described in the SRS; some differences from the SRS are therefore reported as defects.</t>
  </si>
  <si>
    <t>11. Sign-off</t>
  </si>
  <si>
    <t>Prepared by</t>
  </si>
  <si>
    <t>Role</t>
  </si>
  <si>
    <t>QA Engineer / Software Test Engineer</t>
  </si>
  <si>
    <t>Test Data Setup</t>
  </si>
  <si>
    <t>Data used by the test cases (taken from the Test Data and Actual result columns of the Test Cases sheet).</t>
  </si>
  <si>
    <t>1. General</t>
  </si>
  <si>
    <t>Application</t>
  </si>
  <si>
    <t>Guru99 Bank demo site (V2): https://demo.guru99.com/V2/</t>
  </si>
  <si>
    <t>Browser</t>
  </si>
  <si>
    <t>Google Chrome</t>
  </si>
  <si>
    <t>Manager and Customer</t>
  </si>
  <si>
    <t>Legend</t>
  </si>
  <si>
    <t>"◄" marks the field under test. "[Attempt n]" values are entered one after another. "B", "B1", "B2" are balances noted before the test. Dates are relative to the execution date.</t>
  </si>
  <si>
    <t>2. Login accounts</t>
  </si>
  <si>
    <t>Account</t>
  </si>
  <si>
    <t>User ID</t>
  </si>
  <si>
    <t>Password</t>
  </si>
  <si>
    <t>Used in</t>
  </si>
  <si>
    <t>Notes</t>
  </si>
  <si>
    <t>Manager (main)</t>
  </si>
  <si>
    <t>mngr668217</t>
  </si>
  <si>
    <t>rUqyzUv</t>
  </si>
  <si>
    <t>TC_LG_001 - TC_LG_018 and every module up to Change Password</t>
  </si>
  <si>
    <t>The password changes in the Change Password module (see the password chain below).</t>
  </si>
  <si>
    <t>Manager (first run)</t>
  </si>
  <si>
    <t>mngr667952</t>
  </si>
  <si>
    <t>dYnAbAp</t>
  </si>
  <si>
    <t>TC_LG_001 - TC_LG_003 were first executed with this account</t>
  </si>
  <si>
    <t>Test data now uses the main Manager account so that all tests share the same login.</t>
  </si>
  <si>
    <t>Manager 2</t>
  </si>
  <si>
    <t>not recorded</t>
  </si>
  <si>
    <t>Tests for accounts/customers of another Manager (E44)</t>
  </si>
  <si>
    <t>Its customers and accounts are not recorded in the tests.</t>
  </si>
  <si>
    <t>Customer</t>
  </si>
  <si>
    <t>Customer-role tests</t>
  </si>
  <si>
    <t>No customer credentials are recorded in the test data.</t>
  </si>
  <si>
    <t>Unknown user</t>
  </si>
  <si>
    <t>ghost999</t>
  </si>
  <si>
    <t>Pass@123</t>
  </si>
  <si>
    <t>User ID that does not exist.</t>
  </si>
  <si>
    <t>Wrong password</t>
  </si>
  <si>
    <t>wrongpas</t>
  </si>
  <si>
    <t>TC_LG_006, TC_LG_009</t>
  </si>
  <si>
    <t>Valid User ID with an incorrect password.</t>
  </si>
  <si>
    <t>Case variants</t>
  </si>
  <si>
    <t>MNGR668217 / mngr668217</t>
  </si>
  <si>
    <t>rUqyzUv / RUQYZUV</t>
  </si>
  <si>
    <t>TC_LG_007, TC_LG_008</t>
  </si>
  <si>
    <t>Uppercase User ID; password with different casing.</t>
  </si>
  <si>
    <t>Special inputs</t>
  </si>
  <si>
    <t>' OR '1'='1  /  mngr 668217</t>
  </si>
  <si>
    <t>x  /  rUqyzUv</t>
  </si>
  <si>
    <t>TC_LG_014, TC_LG_015</t>
  </si>
  <si>
    <t>SQL injection string; User ID with a space inside.</t>
  </si>
  <si>
    <t>Password chain (Change Password)</t>
  </si>
  <si>
    <t>TC_CP_001 - TC_CP_023</t>
  </si>
  <si>
    <t>rUqyzUv -&gt; NewPass@456 (TC_CP_001) -&gt; Ab@12 (TC_CP_010) -&gt; Ab@123 (TC_CP_011) -&gt; 30-character password -&gt; 31-character password (TC_CP_015) -&gt; P@$$w0rd!#% (TC_CP_016) -&gt; P@ss word 1 (TC_CP_017). Each test uses the password set by the previous one.</t>
  </si>
  <si>
    <t>3. Customers</t>
  </si>
  <si>
    <t>Customer ID</t>
  </si>
  <si>
    <t>Role in the tests</t>
  </si>
  <si>
    <t>Created in</t>
  </si>
  <si>
    <t>Key data</t>
  </si>
  <si>
    <t>Used in / notes</t>
  </si>
  <si>
    <t>4073</t>
  </si>
  <si>
    <t>Customer edited, then deleted</t>
  </si>
  <si>
    <t>John Smith, Male, 1990-05-15, 12 Main Street, Alexandria, Alexandria, PIN 123456, mobile 5551234567, password Pass@123, john.smith01@test.com</t>
  </si>
  <si>
    <t>Edited by TC_EC_010 - TC_EC_039 (its data changes) and deleted in TC_DC_001; ID 4073 is also used in TC_NC_005 and TC_DC_014.</t>
  </si>
  <si>
    <t>4620</t>
  </si>
  <si>
    <t>Customer A</t>
  </si>
  <si>
    <t>John Smith, Male, 1990-05-15, 12 Main Street, Alexandria, Alexandria, PIN 123456, mobile 5551234567, password Pass@123, john.smith04a@test.com</t>
  </si>
  <si>
    <t>Created together with customer B to check that Customer IDs are unique.</t>
  </si>
  <si>
    <t>78692</t>
  </si>
  <si>
    <t>Customer B</t>
  </si>
  <si>
    <t>John Smith, Male, 1990-05-15, 12 Main Street, Alexandria, Alexandria, PIN 123456, mobile 5551234567, password Pass@123, john.smith04b@test.com</t>
  </si>
  <si>
    <t>Email used as the "existing email" in TC_EC_035.</t>
  </si>
  <si>
    <t>4273</t>
  </si>
  <si>
    <t>Age boundary</t>
  </si>
  <si>
    <t>Date of birth = execution date - 18 years</t>
  </si>
  <si>
    <t>Valid customer.</t>
  </si>
  <si>
    <t>52817</t>
  </si>
  <si>
    <t>Date of birth = (execution date - 18 years) + 1 day</t>
  </si>
  <si>
    <t>Created although under 18 (defect).</t>
  </si>
  <si>
    <t>27595</t>
  </si>
  <si>
    <t>Underage customer</t>
  </si>
  <si>
    <t>Date of birth = execution date - 10 years</t>
  </si>
  <si>
    <t>69229</t>
  </si>
  <si>
    <t>Future date of birth</t>
  </si>
  <si>
    <t>Date of birth = tomorrow's date</t>
  </si>
  <si>
    <t>Created with a future date (defect).</t>
  </si>
  <si>
    <t>63551</t>
  </si>
  <si>
    <t>Alphanumeric address</t>
  </si>
  <si>
    <t>Address: 12 Main Street Apt 5</t>
  </si>
  <si>
    <t>33471</t>
  </si>
  <si>
    <t>Short mobile number</t>
  </si>
  <si>
    <t>Mobile number: 555123456 (9 digits)</t>
  </si>
  <si>
    <t>Created with an invalid mobile length (defect).</t>
  </si>
  <si>
    <t>78251</t>
  </si>
  <si>
    <t>Long mobile number</t>
  </si>
  <si>
    <t>Mobile number: 55512345678 (11 digits)</t>
  </si>
  <si>
    <t>790</t>
  </si>
  <si>
    <t>Short password</t>
  </si>
  <si>
    <t>Password: Ab@12 (5 characters)</t>
  </si>
  <si>
    <t>Created with an invalid password length (defect).</t>
  </si>
  <si>
    <t>38892</t>
  </si>
  <si>
    <t>Customer with accounts</t>
  </si>
  <si>
    <t>Owner of accounts 185657 - 185664</t>
  </si>
  <si>
    <t>Used in TC_NA_001 - TC_NA_029 and TC_DC_010 (has active accounts).</t>
  </si>
  <si>
    <t>IDs not recorded</t>
  </si>
  <si>
    <t>Customers created by passed tests</t>
  </si>
  <si>
    <t>TC_NC_010, TC_NC_045, TC_NC_052</t>
  </si>
  <si>
    <t>Mary Ann Lee; password Ab@123; double submission</t>
  </si>
  <si>
    <t>Customer IDs were not written in the Actual result.</t>
  </si>
  <si>
    <t>4. Accounts</t>
  </si>
  <si>
    <t>Account number</t>
  </si>
  <si>
    <t>Type / initial deposit</t>
  </si>
  <si>
    <t>185657</t>
  </si>
  <si>
    <t>Savings / 1000</t>
  </si>
  <si>
    <t>Main account for Deposit, Withdrawal, Edit Account, Delete Account (TC_DA_011) and the balance checks of TC_BE_004 / TC_BE_005.</t>
  </si>
  <si>
    <t>185658</t>
  </si>
  <si>
    <t>Current / 5000</t>
  </si>
  <si>
    <t>Second account (TC_EA_005, Deposit and Withdrawal tests).</t>
  </si>
  <si>
    <t>185659</t>
  </si>
  <si>
    <t>Savings / 1500</t>
  </si>
  <si>
    <t>Second Savings account of the same customer.</t>
  </si>
  <si>
    <t>185660</t>
  </si>
  <si>
    <t>Savings / 500</t>
  </si>
  <si>
    <t>Minimum initial deposit (boundary).</t>
  </si>
  <si>
    <t>185661</t>
  </si>
  <si>
    <t>Savings / 501</t>
  </si>
  <si>
    <t>Boundary + 1.</t>
  </si>
  <si>
    <t>185662</t>
  </si>
  <si>
    <t>Savings / 0500 (read as 500)</t>
  </si>
  <si>
    <t>Leading zeros.</t>
  </si>
  <si>
    <t>185664</t>
  </si>
  <si>
    <t>Double submission.</t>
  </si>
  <si>
    <t>185671</t>
  </si>
  <si>
    <t>Fund Transfer payer (TC_FT_001 and the other transfer tests); TC_BE_006; payee in TC_MS_012; TC_MS_013.</t>
  </si>
  <si>
    <t>185672</t>
  </si>
  <si>
    <t>Fund Transfer payee; also used as "account of another Manager" in TC_MS_019 (please confirm).</t>
  </si>
  <si>
    <t>185674</t>
  </si>
  <si>
    <t>Balance Enquiry (TC_BE_001), Mini Statement (TC_MS_*) and Customized Statement (TC_CS_*) tests.</t>
  </si>
  <si>
    <t>5. Data used by module</t>
  </si>
  <si>
    <t>Data used</t>
  </si>
  <si>
    <t>Manager mngr668217 / rUqyzUv and the invalid logins listed above.</t>
  </si>
  <si>
    <t>Baseline customer (John Smith ...) with a unique email john.smithNN@test.com per test (NN = test number); boundary and invalid values of section 6.</t>
  </si>
  <si>
    <t>Customer 4073; email of customer 78692 (john.smith04b@test.com) and a1a@gmail.com as existing emails; new values: 45 Park Avenue, Cairo, 654321, 5559876543, john.edit10@test.com.</t>
  </si>
  <si>
    <t>Customer 4073 (no accounts) for deletion; customer 38892 (has accounts 185657 and 185658) for the active-accounts rule.</t>
  </si>
  <si>
    <t>Customer 38892; Savings / Current; initial deposits 1000, 5000, 1500, 500, 501, 0500 and invalid values.</t>
  </si>
  <si>
    <t>Accounts 185657 (Savings) and 185658 (Current).</t>
  </si>
  <si>
    <t>Account 185657 (balance 1000.00). A zero-balance account is not available.</t>
  </si>
  <si>
    <t>Account 185657; amount 500; description "Salary deposit".</t>
  </si>
  <si>
    <t>Account 185657; amount 200; description "ATM withdrawal"; B = current balance.</t>
  </si>
  <si>
    <t>Payer 185671, payee 185672; amount 100; description "Rent payment".</t>
  </si>
  <si>
    <t>Account 185674; accounts 185657, 185671 and 185672 for the balance checks after other operations.</t>
  </si>
  <si>
    <t>Account 185674; accounts 185671 and 185672.</t>
  </si>
  <si>
    <t>Account 185674; date range = execution date - 7 days to execution date; Min Transaction Value 250; Number of Transactions 3.</t>
  </si>
  <si>
    <t>Manager mngr668217 and the password chain of section 2.</t>
  </si>
  <si>
    <t>6. Boundary and special values</t>
  </si>
  <si>
    <t>Field</t>
  </si>
  <si>
    <t>Values</t>
  </si>
  <si>
    <t>Customer Name</t>
  </si>
  <si>
    <t>50 letters: AbcdefghijAbcdefghijAbcdefghijAbcdefghijAbcdefghij; 51 letters: the same + k; John123; John@#$; " John" (leading space); Mary Ann Lee</t>
  </si>
  <si>
    <t>Address</t>
  </si>
  <si>
    <t>200 characters: "Main Street 12 " repeated and cut at 200; 201 characters: the same + A; @#$%^&amp;; 12 Main Street Apt 5</t>
  </si>
  <si>
    <t>City / State</t>
  </si>
  <si>
    <t>50 and 51 letters; Cairo123; Cairo@#; Giza12</t>
  </si>
  <si>
    <t>PIN Code</t>
  </si>
  <si>
    <t>12345 (5 digits); 123456 (6 digits); 1234567 (7 digits); 12AB56; 12@#56</t>
  </si>
  <si>
    <t>Mobile Number</t>
  </si>
  <si>
    <t>555123456 (9 digits); 5551234567 (10 digits); 55512345678 (11 digits); 55512ABC90; 555123@#90</t>
  </si>
  <si>
    <t>Email</t>
  </si>
  <si>
    <t>50 characters: a x 41 + @test.com; 51 characters: a x 42 + @test.com; john.smith; john@; @test.com; john@test; john smith@test.com; JOHN.SMITH01@TEST.COM</t>
  </si>
  <si>
    <t>Ab@12 (5); Ab@123 (6); 30 characters: Ab@123 + 24 x; 31 characters: Ab@123 + 25 x; P@$$w0rd!#%; P@ss word 1</t>
  </si>
  <si>
    <t>IDs and account numbers</t>
  </si>
  <si>
    <t>ABC123; 12@#45; 0; -5; 12.5; 999999999 (customer that does not exist); 999999999999999 (account that does not exist); 12345678901 (11 digits)</t>
  </si>
  <si>
    <t>Amounts</t>
  </si>
  <si>
    <t>0; 0.01; 100; 100.50; 100.555; -100; 499; 500; 501; B - 1; B; B + 1; 99999999999999999999 (20 digits); abc; 50@0; 5 00</t>
  </si>
  <si>
    <t>200 and 201 characters ("Payment note 12 " repeated); Salary &amp; bonus - Oct #2 (50%)</t>
  </si>
  <si>
    <t>Injection strings</t>
  </si>
  <si>
    <t>' OR '1'='1  |  1 OR 1=1  |  500' OR '1'='1  |  100' OR '1'='1  |  &lt;script&gt;alert('x')&lt;/script&gt;</t>
  </si>
  <si>
    <t>7. Data not available or to be confirmed</t>
  </si>
  <si>
    <t>- A zero-balance account cannot be created (minimum initial deposit is 500), so TC_DA_001 - TC_DA_003, TC_DA_012 and the zero-balance tests have no data.</t>
  </si>
  <si>
    <t>- The second Manager (Manager 2) and its customers/accounts are not recorded; the "another Manager" tests use a description instead of an ID.</t>
  </si>
  <si>
    <t>- Owner, type, initial deposit and balances of accounts 185671, 185672 and 185674 are not recorded.</t>
  </si>
  <si>
    <t>- Account 185672 is a payee in the Fund Transfer tests and also "another Manager's account" in TC_MS_019: please confirm.</t>
  </si>
  <si>
    <t>- Customer 38892: the test that created it is not recorded.</t>
  </si>
  <si>
    <t>- TC_MS_001, TC_MS_003 and TC_MS_004 use the same account (185674) for "&gt;5", "exactly 5" and "1 to 4" transactions, which cannot all be true at the same time.</t>
  </si>
  <si>
    <t>- No customer login credentials are recorded, so no test was executed as a Customer.</t>
  </si>
  <si>
    <t>Google Chrome; Guru99 Bank demo site (V2) - https://demo.guru99.com/V4/</t>
  </si>
  <si>
    <t xml:space="preserve">Edit Customer </t>
  </si>
  <si>
    <t xml:space="preserve">Delete customer </t>
  </si>
  <si>
    <t>Delete account</t>
  </si>
  <si>
    <t xml:space="preserve">Deposit </t>
  </si>
  <si>
    <t>Fund Transfere</t>
  </si>
  <si>
    <t>Guru99 Bank demo site (V4) - https://demo.guru99.com/V4/</t>
  </si>
  <si>
    <t>Google Chrome; Guru99 Bank demo site (V4)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</si>
</sst>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1"/>
      <color rgb="FFFFFFFF"/>
      <name val="Cambria"/>
      <charset val="1"/>
    </font>
    <font>
      <b/>
      <sz val="11"/>
      <name val="Cambria"/>
      <charset val="1"/>
    </font>
    <font>
      <sz val="10"/>
      <name val="Arial"/>
      <family val="2"/>
    </font>
    <font>
      <b/>
      <sz val="18"/>
      <color rgb="FF1F3864"/>
      <name val="Cambria"/>
      <charset val="1"/>
    </font>
    <font>
      <sz val="12"/>
      <color rgb="FF595959"/>
      <name val="Cambria"/>
      <charset val="1"/>
    </font>
    <font>
      <b/>
      <sz val="12"/>
      <color rgb="FFFFFFFF"/>
      <name val="Cambria"/>
      <charset val="1"/>
    </font>
    <font>
      <sz val="11"/>
      <name val="Cambria"/>
      <charset val="1"/>
    </font>
    <font>
      <sz val="11"/>
      <color rgb="FF595959"/>
      <name val="Cambria"/>
      <charset val="1"/>
    </font>
    <font>
      <b/>
      <sz val="14"/>
      <color rgb="FFFFFFFF"/>
      <name val="Cambria"/>
      <family val="1"/>
    </font>
    <font>
      <sz val="14"/>
      <color theme="1"/>
      <name val="Calibri"/>
      <family val="2"/>
      <charset val="1"/>
    </font>
    <font>
      <b/>
      <sz val="20"/>
      <color theme="0"/>
      <name val="Calibri"/>
      <family val="2"/>
    </font>
    <font>
      <sz val="11"/>
      <name val="Cambria"/>
      <family val="1"/>
    </font>
  </fonts>
  <fills count="5">
    <fill>
      <patternFill patternType="none"/>
    </fill>
    <fill>
      <patternFill patternType="gray125"/>
    </fill>
    <fill>
      <patternFill patternType="solid">
        <fgColor rgb="FF4F81BD"/>
        <bgColor rgb="FF878787"/>
      </patternFill>
    </fill>
    <fill>
      <patternFill patternType="solid">
        <fgColor rgb="FFDCE6F1"/>
        <bgColor rgb="FFD9D9D9"/>
      </patternFill>
    </fill>
    <fill>
      <patternFill patternType="solid">
        <fgColor theme="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0" fillId="0" borderId="1" xfId="0" applyBorder="1" applyAlignment="1">
      <alignment vertical="top" wrapText="1"/>
    </xf>
    <xf numFmtId="0" fontId="0" fillId="0" borderId="0" xfId="0" applyAlignment="1">
      <alignment vertical="top" wrapText="1"/>
    </xf>
    <xf numFmtId="0" fontId="2" fillId="0" borderId="0" xfId="0" applyFont="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7"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4" fillId="0" borderId="0" xfId="0" applyFont="1"/>
    <xf numFmtId="0" fontId="5" fillId="0" borderId="0" xfId="0" applyFont="1"/>
    <xf numFmtId="0" fontId="6" fillId="2" borderId="0" xfId="0" applyFont="1" applyFill="1"/>
    <xf numFmtId="0" fontId="0" fillId="2" borderId="0" xfId="0" applyFill="1"/>
    <xf numFmtId="0" fontId="2"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top" wrapText="1"/>
    </xf>
    <xf numFmtId="9" fontId="7" fillId="0" borderId="1" xfId="0" applyNumberFormat="1" applyFont="1" applyBorder="1" applyAlignment="1">
      <alignment horizontal="center" vertical="top" wrapText="1"/>
    </xf>
    <xf numFmtId="9" fontId="2" fillId="0" borderId="1" xfId="0" applyNumberFormat="1" applyFont="1" applyBorder="1" applyAlignment="1">
      <alignment horizontal="center" vertical="top" wrapText="1"/>
    </xf>
    <xf numFmtId="0" fontId="8" fillId="0" borderId="0" xfId="0" applyFont="1"/>
    <xf numFmtId="0" fontId="2" fillId="3" borderId="1" xfId="0" applyFont="1" applyFill="1" applyBorder="1" applyAlignment="1">
      <alignment vertical="center" wrapText="1"/>
    </xf>
    <xf numFmtId="0" fontId="9" fillId="2" borderId="1" xfId="0" applyFont="1" applyFill="1" applyBorder="1" applyAlignment="1">
      <alignment horizontal="center" vertical="center" wrapText="1"/>
    </xf>
    <xf numFmtId="0" fontId="10" fillId="0" borderId="0" xfId="0" applyFont="1"/>
    <xf numFmtId="0" fontId="0" fillId="4" borderId="1" xfId="0" applyFill="1" applyBorder="1" applyAlignment="1">
      <alignment horizontal="center" vertical="top" wrapText="1"/>
    </xf>
    <xf numFmtId="0" fontId="0" fillId="4" borderId="1" xfId="0" applyFill="1" applyBorder="1" applyAlignment="1">
      <alignment vertical="top" wrapText="1"/>
    </xf>
    <xf numFmtId="0" fontId="0" fillId="4" borderId="0" xfId="0" applyFill="1"/>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horizontal="center" vertical="center"/>
    </xf>
    <xf numFmtId="0" fontId="11" fillId="4"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0" borderId="0" xfId="0" applyAlignment="1">
      <alignment horizontal="left" vertical="center"/>
    </xf>
    <xf numFmtId="0" fontId="12" fillId="0" borderId="1" xfId="0" applyFont="1" applyBorder="1" applyAlignment="1">
      <alignment horizontal="left" vertical="top" wrapText="1"/>
    </xf>
  </cellXfs>
  <cellStyles count="1">
    <cellStyle name="عادي" xfId="0" builtinId="0"/>
  </cellStyles>
  <dxfs count="39">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4"/>
      </font>
    </dxf>
    <dxf>
      <font>
        <b/>
        <i val="0"/>
      </font>
      <fill>
        <patternFill>
          <bgColor theme="9" tint="0.59996337778862885"/>
        </patternFill>
      </fill>
    </dxf>
    <dxf>
      <font>
        <b/>
        <i val="0"/>
      </font>
      <fill>
        <patternFill>
          <bgColor rgb="FFFF9999"/>
        </patternFill>
      </fill>
    </dxf>
    <dxf>
      <font>
        <b/>
        <i val="0"/>
      </font>
      <fill>
        <patternFill>
          <bgColor rgb="FF66FF99"/>
        </patternFill>
      </fill>
    </dxf>
    <dxf>
      <font>
        <b/>
        <i val="0"/>
      </font>
      <fill>
        <patternFill>
          <bgColor rgb="FFFF9999"/>
        </patternFill>
      </fill>
    </dxf>
    <dxf>
      <font>
        <b/>
        <i val="0"/>
      </font>
      <fill>
        <patternFill>
          <bgColor theme="9" tint="0.59996337778862885"/>
        </patternFill>
      </fill>
    </dxf>
    <dxf>
      <font>
        <b/>
        <i val="0"/>
      </font>
      <fill>
        <patternFill>
          <bgColor rgb="FF99FF99"/>
        </patternFill>
      </fill>
    </dxf>
    <dxf>
      <font>
        <b/>
        <i val="0"/>
      </font>
      <fill>
        <patternFill>
          <bgColor rgb="FFFF9999"/>
        </patternFill>
      </fill>
    </dxf>
    <dxf>
      <fill>
        <patternFill>
          <bgColor rgb="FFD9D9D9"/>
        </patternFill>
      </fill>
    </dxf>
    <dxf>
      <fill>
        <patternFill>
          <bgColor rgb="FFFFEB9C"/>
        </patternFill>
      </fill>
    </dxf>
    <dxf>
      <fill>
        <patternFill>
          <bgColor rgb="FFFFC7CE"/>
        </patternFill>
      </fill>
    </dxf>
    <dxf>
      <font>
        <b/>
        <color rgb="FF00B050"/>
      </font>
    </dxf>
    <dxf>
      <font>
        <b/>
        <color rgb="FFFF9900"/>
      </font>
    </dxf>
    <dxf>
      <font>
        <b/>
        <color rgb="FFFF0000"/>
      </font>
    </dxf>
    <dxf>
      <font>
        <b/>
        <color rgb="FFC00000"/>
      </font>
    </dxf>
    <dxf>
      <fill>
        <patternFill>
          <bgColor rgb="FFFFE699"/>
        </patternFill>
      </fill>
    </dxf>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FFE699"/>
        </patternFill>
      </fill>
    </dxf>
    <dxf>
      <fill>
        <patternFill>
          <bgColor rgb="FFD9D9D9"/>
        </patternFill>
      </fill>
    </dxf>
    <dxf>
      <fill>
        <patternFill>
          <bgColor rgb="FFFFEB9C"/>
        </patternFill>
      </fill>
    </dxf>
    <dxf>
      <fill>
        <patternFill>
          <bgColor rgb="FFFFC7CE"/>
        </patternFill>
      </fill>
    </dxf>
    <dxf>
      <fill>
        <patternFill>
          <bgColor rgb="FFC6EFCE"/>
        </patternFill>
      </fill>
    </dxf>
    <dxf>
      <font>
        <b/>
        <color rgb="FF00B050"/>
      </font>
    </dxf>
    <dxf>
      <font>
        <b/>
        <color rgb="FFFF9900"/>
      </font>
    </dxf>
    <dxf>
      <font>
        <b/>
        <color rgb="FFFF0000"/>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993366"/>
      <rgbColor rgb="FFFFE699"/>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9CC00"/>
      <rgbColor rgb="FFFFC000"/>
      <rgbColor rgb="FFFF9900"/>
      <rgbColor rgb="FFFF5050"/>
      <rgbColor rgb="FF595959"/>
      <rgbColor rgb="FF70AD47"/>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66FF99"/>
      <color rgb="FF99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Test results by module</a:t>
            </a:r>
          </a:p>
        </c:rich>
      </c:tx>
      <c:overlay val="0"/>
      <c:spPr>
        <a:noFill/>
        <a:ln w="0">
          <a:noFill/>
        </a:ln>
      </c:spPr>
    </c:title>
    <c:autoTitleDeleted val="0"/>
    <c:plotArea>
      <c:layout/>
      <c:barChart>
        <c:barDir val="bar"/>
        <c:grouping val="stacked"/>
        <c:varyColors val="0"/>
        <c:ser>
          <c:idx val="0"/>
          <c:order val="0"/>
          <c:tx>
            <c:strRef>
              <c:f>'Test Summary Report'!$D$30</c:f>
              <c:strCache>
                <c:ptCount val="1"/>
                <c:pt idx="0">
                  <c:v>Pass</c:v>
                </c:pt>
              </c:strCache>
            </c:strRef>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'Test Summary Report'!$B$31:$B$44</c:f>
              <c:strCache>
                <c:ptCount val="14"/>
                <c:pt idx="0">
                  <c:v>Login</c:v>
                </c:pt>
                <c:pt idx="1">
                  <c:v>New Customer</c:v>
                </c:pt>
                <c:pt idx="2">
                  <c:v>Edit Customer</c:v>
                </c:pt>
                <c:pt idx="3">
                  <c:v>Delete Customer</c:v>
                </c:pt>
                <c:pt idx="4">
                  <c:v>New Account</c:v>
                </c:pt>
                <c:pt idx="5">
                  <c:v>Edit Account</c:v>
                </c:pt>
                <c:pt idx="6">
                  <c:v>Delete Account</c:v>
                </c:pt>
                <c:pt idx="7">
                  <c:v>Deposit</c:v>
                </c:pt>
                <c:pt idx="8">
                  <c:v>Withdrawal</c:v>
                </c:pt>
                <c:pt idx="9">
                  <c:v>Fund Transfer</c:v>
                </c:pt>
                <c:pt idx="10">
                  <c:v>Balance Enquiry</c:v>
                </c:pt>
                <c:pt idx="11">
                  <c:v>Mini Statement</c:v>
                </c:pt>
                <c:pt idx="12">
                  <c:v>Customized Statement</c:v>
                </c:pt>
                <c:pt idx="13">
                  <c:v>Change Password</c:v>
                </c:pt>
              </c:strCache>
            </c:strRef>
          </c:cat>
          <c:val>
            <c:numRef>
              <c:f>'Test Summary Report'!$D$31:$D$44</c:f>
              <c:numCache>
                <c:formatCode>General</c:formatCode>
                <c:ptCount val="14"/>
                <c:pt idx="0">
                  <c:v>8</c:v>
                </c:pt>
                <c:pt idx="1">
                  <c:v>39</c:v>
                </c:pt>
                <c:pt idx="2">
                  <c:v>12</c:v>
                </c:pt>
                <c:pt idx="3">
                  <c:v>12</c:v>
                </c:pt>
                <c:pt idx="4">
                  <c:v>23</c:v>
                </c:pt>
                <c:pt idx="5">
                  <c:v>1</c:v>
                </c:pt>
                <c:pt idx="6">
                  <c:v>4</c:v>
                </c:pt>
                <c:pt idx="7">
                  <c:v>8</c:v>
                </c:pt>
                <c:pt idx="8">
                  <c:v>13</c:v>
                </c:pt>
                <c:pt idx="9">
                  <c:v>13</c:v>
                </c:pt>
                <c:pt idx="10">
                  <c:v>6</c:v>
                </c:pt>
                <c:pt idx="11">
                  <c:v>6</c:v>
                </c:pt>
                <c:pt idx="12">
                  <c:v>4</c:v>
                </c:pt>
                <c:pt idx="13">
                  <c:v>20</c:v>
                </c:pt>
              </c:numCache>
            </c:numRef>
          </c:val>
          <c:extLst>
            <c:ext xmlns:c16="http://schemas.microsoft.com/office/drawing/2014/chart" uri="{C3380CC4-5D6E-409C-BE32-E72D297353CC}">
              <c16:uniqueId val="{00000000-47D7-47A2-A566-D812ED88ADE2}"/>
            </c:ext>
          </c:extLst>
        </c:ser>
        <c:ser>
          <c:idx val="1"/>
          <c:order val="1"/>
          <c:tx>
            <c:strRef>
              <c:f>'Test Summary Report'!$E$30</c:f>
              <c:strCache>
                <c:ptCount val="1"/>
                <c:pt idx="0">
                  <c:v>Fail</c:v>
                </c:pt>
              </c:strCache>
            </c:strRef>
          </c:tx>
          <c:spPr>
            <a:solidFill>
              <a:srgbClr val="FF505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'Test Summary Report'!$B$31:$B$44</c:f>
              <c:strCache>
                <c:ptCount val="14"/>
                <c:pt idx="0">
                  <c:v>Login</c:v>
                </c:pt>
                <c:pt idx="1">
                  <c:v>New Customer</c:v>
                </c:pt>
                <c:pt idx="2">
                  <c:v>Edit Customer</c:v>
                </c:pt>
                <c:pt idx="3">
                  <c:v>Delete Customer</c:v>
                </c:pt>
                <c:pt idx="4">
                  <c:v>New Account</c:v>
                </c:pt>
                <c:pt idx="5">
                  <c:v>Edit Account</c:v>
                </c:pt>
                <c:pt idx="6">
                  <c:v>Delete Account</c:v>
                </c:pt>
                <c:pt idx="7">
                  <c:v>Deposit</c:v>
                </c:pt>
                <c:pt idx="8">
                  <c:v>Withdrawal</c:v>
                </c:pt>
                <c:pt idx="9">
                  <c:v>Fund Transfer</c:v>
                </c:pt>
                <c:pt idx="10">
                  <c:v>Balance Enquiry</c:v>
                </c:pt>
                <c:pt idx="11">
                  <c:v>Mini Statement</c:v>
                </c:pt>
                <c:pt idx="12">
                  <c:v>Customized Statement</c:v>
                </c:pt>
                <c:pt idx="13">
                  <c:v>Change Password</c:v>
                </c:pt>
              </c:strCache>
            </c:strRef>
          </c:cat>
          <c:val>
            <c:numRef>
              <c:f>'Test Summary Report'!$E$31:$E$44</c:f>
              <c:numCache>
                <c:formatCode>General</c:formatCode>
                <c:ptCount val="14"/>
                <c:pt idx="0">
                  <c:v>10</c:v>
                </c:pt>
                <c:pt idx="1">
                  <c:v>12</c:v>
                </c:pt>
                <c:pt idx="2">
                  <c:v>28</c:v>
                </c:pt>
                <c:pt idx="3">
                  <c:v>2</c:v>
                </c:pt>
                <c:pt idx="4">
                  <c:v>4</c:v>
                </c:pt>
                <c:pt idx="5">
                  <c:v>1</c:v>
                </c:pt>
                <c:pt idx="6">
                  <c:v>4</c:v>
                </c:pt>
                <c:pt idx="7">
                  <c:v>3</c:v>
                </c:pt>
                <c:pt idx="8">
                  <c:v>16</c:v>
                </c:pt>
                <c:pt idx="9">
                  <c:v>18</c:v>
                </c:pt>
                <c:pt idx="10">
                  <c:v>4</c:v>
                </c:pt>
                <c:pt idx="11">
                  <c:v>9</c:v>
                </c:pt>
                <c:pt idx="12">
                  <c:v>23</c:v>
                </c:pt>
                <c:pt idx="13">
                  <c:v>3</c:v>
                </c:pt>
              </c:numCache>
            </c:numRef>
          </c:val>
          <c:extLst>
            <c:ext xmlns:c16="http://schemas.microsoft.com/office/drawing/2014/chart" uri="{C3380CC4-5D6E-409C-BE32-E72D297353CC}">
              <c16:uniqueId val="{00000001-47D7-47A2-A566-D812ED88ADE2}"/>
            </c:ext>
          </c:extLst>
        </c:ser>
        <c:ser>
          <c:idx val="2"/>
          <c:order val="2"/>
          <c:tx>
            <c:strRef>
              <c:f>'Test Summary Report'!$F$30</c:f>
              <c:strCache>
                <c:ptCount val="1"/>
                <c:pt idx="0">
                  <c:v>Blocked</c:v>
                </c:pt>
              </c:strCache>
            </c:strRef>
          </c:tx>
          <c:spPr>
            <a:solidFill>
              <a:srgbClr val="FFC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'Test Summary Report'!$B$31:$B$44</c:f>
              <c:strCache>
                <c:ptCount val="14"/>
                <c:pt idx="0">
                  <c:v>Login</c:v>
                </c:pt>
                <c:pt idx="1">
                  <c:v>New Customer</c:v>
                </c:pt>
                <c:pt idx="2">
                  <c:v>Edit Customer</c:v>
                </c:pt>
                <c:pt idx="3">
                  <c:v>Delete Customer</c:v>
                </c:pt>
                <c:pt idx="4">
                  <c:v>New Account</c:v>
                </c:pt>
                <c:pt idx="5">
                  <c:v>Edit Account</c:v>
                </c:pt>
                <c:pt idx="6">
                  <c:v>Delete Account</c:v>
                </c:pt>
                <c:pt idx="7">
                  <c:v>Deposit</c:v>
                </c:pt>
                <c:pt idx="8">
                  <c:v>Withdrawal</c:v>
                </c:pt>
                <c:pt idx="9">
                  <c:v>Fund Transfer</c:v>
                </c:pt>
                <c:pt idx="10">
                  <c:v>Balance Enquiry</c:v>
                </c:pt>
                <c:pt idx="11">
                  <c:v>Mini Statement</c:v>
                </c:pt>
                <c:pt idx="12">
                  <c:v>Customized Statement</c:v>
                </c:pt>
                <c:pt idx="13">
                  <c:v>Change Password</c:v>
                </c:pt>
              </c:strCache>
            </c:strRef>
          </c:cat>
          <c:val>
            <c:numRef>
              <c:f>'Test Summary Report'!$F$31:$F$44</c:f>
              <c:numCache>
                <c:formatCode>General</c:formatCode>
                <c:ptCount val="14"/>
                <c:pt idx="0">
                  <c:v>0</c:v>
                </c:pt>
                <c:pt idx="1">
                  <c:v>1</c:v>
                </c:pt>
                <c:pt idx="2">
                  <c:v>0</c:v>
                </c:pt>
                <c:pt idx="3">
                  <c:v>0</c:v>
                </c:pt>
                <c:pt idx="4">
                  <c:v>2</c:v>
                </c:pt>
                <c:pt idx="5">
                  <c:v>13</c:v>
                </c:pt>
                <c:pt idx="6">
                  <c:v>5</c:v>
                </c:pt>
                <c:pt idx="7">
                  <c:v>16</c:v>
                </c:pt>
                <c:pt idx="8">
                  <c:v>0</c:v>
                </c:pt>
                <c:pt idx="9">
                  <c:v>0</c:v>
                </c:pt>
                <c:pt idx="10">
                  <c:v>5</c:v>
                </c:pt>
                <c:pt idx="11">
                  <c:v>5</c:v>
                </c:pt>
                <c:pt idx="12">
                  <c:v>0</c:v>
                </c:pt>
                <c:pt idx="13">
                  <c:v>0</c:v>
                </c:pt>
              </c:numCache>
            </c:numRef>
          </c:val>
          <c:extLst>
            <c:ext xmlns:c16="http://schemas.microsoft.com/office/drawing/2014/chart" uri="{C3380CC4-5D6E-409C-BE32-E72D297353CC}">
              <c16:uniqueId val="{00000002-47D7-47A2-A566-D812ED88ADE2}"/>
            </c:ext>
          </c:extLst>
        </c:ser>
        <c:dLbls>
          <c:showLegendKey val="0"/>
          <c:showVal val="0"/>
          <c:showCatName val="0"/>
          <c:showSerName val="0"/>
          <c:showPercent val="0"/>
          <c:showBubbleSize val="0"/>
        </c:dLbls>
        <c:gapWidth val="150"/>
        <c:overlap val="100"/>
        <c:axId val="56515296"/>
        <c:axId val="2912060"/>
      </c:barChart>
      <c:catAx>
        <c:axId val="5651529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12060"/>
        <c:crosses val="autoZero"/>
        <c:auto val="1"/>
        <c:lblAlgn val="ctr"/>
        <c:lblOffset val="100"/>
        <c:noMultiLvlLbl val="0"/>
      </c:catAx>
      <c:valAx>
        <c:axId val="2912060"/>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5152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Overall results</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70AD47"/>
              </a:solidFill>
              <a:ln w="0">
                <a:noFill/>
              </a:ln>
            </c:spPr>
            <c:extLst>
              <c:ext xmlns:c16="http://schemas.microsoft.com/office/drawing/2014/chart" uri="{C3380CC4-5D6E-409C-BE32-E72D297353CC}">
                <c16:uniqueId val="{00000001-60CC-4185-8FD9-79ADCB474ED3}"/>
              </c:ext>
            </c:extLst>
          </c:dPt>
          <c:dPt>
            <c:idx val="1"/>
            <c:bubble3D val="0"/>
            <c:spPr>
              <a:solidFill>
                <a:srgbClr val="FF5050"/>
              </a:solidFill>
              <a:ln w="0">
                <a:noFill/>
              </a:ln>
            </c:spPr>
            <c:extLst>
              <c:ext xmlns:c16="http://schemas.microsoft.com/office/drawing/2014/chart" uri="{C3380CC4-5D6E-409C-BE32-E72D297353CC}">
                <c16:uniqueId val="{00000003-60CC-4185-8FD9-79ADCB474ED3}"/>
              </c:ext>
            </c:extLst>
          </c:dPt>
          <c:dPt>
            <c:idx val="2"/>
            <c:bubble3D val="0"/>
            <c:spPr>
              <a:solidFill>
                <a:srgbClr val="FFC000"/>
              </a:solidFill>
              <a:ln w="0">
                <a:noFill/>
              </a:ln>
            </c:spPr>
            <c:extLst>
              <c:ext xmlns:c16="http://schemas.microsoft.com/office/drawing/2014/chart" uri="{C3380CC4-5D6E-409C-BE32-E72D297353CC}">
                <c16:uniqueId val="{00000005-60CC-4185-8FD9-79ADCB474ED3}"/>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1-60CC-4185-8FD9-79ADCB474ED3}"/>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3-60CC-4185-8FD9-79ADCB474ED3}"/>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5-60CC-4185-8FD9-79ADCB474ED3}"/>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'Test Summary Report'!$A$19:$A$21</c:f>
              <c:strCache>
                <c:ptCount val="3"/>
                <c:pt idx="0">
                  <c:v>Passed</c:v>
                </c:pt>
                <c:pt idx="1">
                  <c:v>Failed</c:v>
                </c:pt>
                <c:pt idx="2">
                  <c:v>Blocked</c:v>
                </c:pt>
              </c:strCache>
            </c:strRef>
          </c:cat>
          <c:val>
            <c:numRef>
              <c:f>'Test Summary Report'!$B$19:$B$21</c:f>
              <c:numCache>
                <c:formatCode>General</c:formatCode>
                <c:ptCount val="3"/>
                <c:pt idx="0">
                  <c:v>169</c:v>
                </c:pt>
                <c:pt idx="1">
                  <c:v>137</c:v>
                </c:pt>
                <c:pt idx="2">
                  <c:v>47</c:v>
                </c:pt>
              </c:numCache>
            </c:numRef>
          </c:val>
          <c:extLst>
            <c:ext xmlns:c16="http://schemas.microsoft.com/office/drawing/2014/chart" uri="{C3380CC4-5D6E-409C-BE32-E72D297353CC}">
              <c16:uniqueId val="{00000006-60CC-4185-8FD9-79ADCB474ED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xdr:row>
      <xdr:rowOff>101160</xdr:rowOff>
    </xdr:from>
    <xdr:to>
      <xdr:col>22</xdr:col>
      <xdr:colOff>364680</xdr:colOff>
      <xdr:row>26</xdr:row>
      <xdr:rowOff>39240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29</xdr:row>
      <xdr:rowOff>331200</xdr:rowOff>
    </xdr:from>
    <xdr:to>
      <xdr:col>18</xdr:col>
      <xdr:colOff>290880</xdr:colOff>
      <xdr:row>44</xdr:row>
      <xdr:rowOff>144000</xdr:rowOff>
    </xdr:to>
    <xdr:graphicFrame macro="">
      <xdr:nvGraphicFramePr>
        <xdr:cNvPr id="6" name="Chart 2">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estPlan" displayName="TestPlan" ref="A1:B23" totalsRowShown="0">
  <autoFilter ref="A1:B23" xr:uid="{00000000-0009-0000-0100-000005000000}"/>
  <tableColumns count="2">
    <tableColumn id="1" xr3:uid="{00000000-0010-0000-0000-000001000000}" name="Section"/>
    <tableColumn id="2" xr3:uid="{00000000-0010-0000-0000-000002000000}" name="Detail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estScenarios" displayName="TestScenarios" ref="A1:D111" totalsRowShown="0" headerRowDxfId="7">
  <autoFilter ref="A1:D111" xr:uid="{00000000-0009-0000-0100-000006000000}"/>
  <tableColumns count="4">
    <tableColumn id="1" xr3:uid="{00000000-0010-0000-0100-000001000000}" name="Scenario ID"/>
    <tableColumn id="2" xr3:uid="{00000000-0010-0000-0100-000002000000}" name="Scenario"/>
    <tableColumn id="3" xr3:uid="{00000000-0010-0000-0100-000003000000}" name="Req"/>
    <tableColumn id="4" xr3:uid="{00000000-0010-0000-0100-000004000000}" name="Test Cas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estCases" displayName="TestCases" ref="A1:L367" totalsRowShown="0" headerRowDxfId="38">
  <autoFilter ref="A1:L367" xr:uid="{00000000-0009-0000-0100-000004000000}"/>
  <tableColumns count="12">
    <tableColumn id="1" xr3:uid="{00000000-0010-0000-0200-000001000000}" name="ID" dataDxfId="6"/>
    <tableColumn id="2" xr3:uid="{00000000-0010-0000-0200-000002000000}" name="Title" dataDxfId="5"/>
    <tableColumn id="3" xr3:uid="{00000000-0010-0000-0200-000003000000}" name="Description" dataDxfId="4"/>
    <tableColumn id="4" xr3:uid="{00000000-0010-0000-0200-000004000000}" name="Pre-Condition" dataDxfId="3"/>
    <tableColumn id="5" xr3:uid="{00000000-0010-0000-0200-000005000000}" name="Test steps" dataDxfId="2"/>
    <tableColumn id="6" xr3:uid="{00000000-0010-0000-0200-000006000000}" name="Test data"/>
    <tableColumn id="7" xr3:uid="{00000000-0010-0000-0200-000007000000}" name="Priority"/>
    <tableColumn id="8" xr3:uid="{00000000-0010-0000-0200-000008000000}" name="Expected Result" dataDxfId="1"/>
    <tableColumn id="9" xr3:uid="{00000000-0010-0000-0200-000009000000}" name="Actual result" dataDxfId="0"/>
    <tableColumn id="10" xr3:uid="{00000000-0010-0000-0200-00000A000000}" name="Status"/>
    <tableColumn id="11" xr3:uid="{00000000-0010-0000-0200-00000B000000}" name="Designer"/>
    <tableColumn id="12" xr3:uid="{00000000-0010-0000-0200-00000C000000}" name="Execute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TM" displayName="RTM" ref="A1:L132" totalsRowShown="0" headerRowDxfId="37">
  <autoFilter ref="A1:L132" xr:uid="{00000000-0009-0000-0100-000003000000}"/>
  <tableColumns count="12">
    <tableColumn id="1" xr3:uid="{00000000-0010-0000-0300-000001000000}" name="Req ID"/>
    <tableColumn id="2" xr3:uid="{00000000-0010-0000-0300-000002000000}" name="SRS section"/>
    <tableColumn id="3" xr3:uid="{00000000-0010-0000-0300-000003000000}" name="Module"/>
    <tableColumn id="4" xr3:uid="{00000000-0010-0000-0300-000004000000}" name="Requirement"/>
    <tableColumn id="5" xr3:uid="{00000000-0010-0000-0300-000005000000}" name="Error"/>
    <tableColumn id="6" xr3:uid="{00000000-0010-0000-0300-000006000000}" name="Test cases"/>
    <tableColumn id="7" xr3:uid="{00000000-0010-0000-0300-000007000000}" name="No. of TCs"/>
    <tableColumn id="8" xr3:uid="{00000000-0010-0000-0300-000008000000}" name="Pass"/>
    <tableColumn id="9" xr3:uid="{00000000-0010-0000-0300-000009000000}" name="Fail"/>
    <tableColumn id="10" xr3:uid="{00000000-0010-0000-0300-00000A000000}" name="Blocked"/>
    <tableColumn id="11" xr3:uid="{00000000-0010-0000-0300-00000B000000}" name="Coverage status"/>
    <tableColumn id="12" xr3:uid="{00000000-0010-0000-0300-00000C000000}" name="Linked defect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BugReport" displayName="BugReport" ref="A1:P42" totalsRowShown="0" headerRowDxfId="36">
  <autoFilter ref="A1:P42" xr:uid="{00000000-0009-0000-0100-000001000000}"/>
  <tableColumns count="16">
    <tableColumn id="1" xr3:uid="{00000000-0010-0000-0400-000001000000}" name="ID"/>
    <tableColumn id="2" xr3:uid="{00000000-0010-0000-0400-000002000000}" name="Summary"/>
    <tableColumn id="3" xr3:uid="{00000000-0010-0000-0400-000003000000}" name="Description"/>
    <tableColumn id="4" xr3:uid="{00000000-0010-0000-0400-000004000000}" name="Pre-Condition"/>
    <tableColumn id="5" xr3:uid="{00000000-0010-0000-0400-000005000000}" name="Environment"/>
    <tableColumn id="6" xr3:uid="{00000000-0010-0000-0400-000006000000}" name="Steps"/>
    <tableColumn id="7" xr3:uid="{00000000-0010-0000-0400-000007000000}" name="Expected result"/>
    <tableColumn id="8" xr3:uid="{00000000-0010-0000-0400-000008000000}" name="Actual result"/>
    <tableColumn id="9" xr3:uid="{00000000-0010-0000-0400-000009000000}" name="Severity"/>
    <tableColumn id="10" xr3:uid="{00000000-0010-0000-0400-00000A000000}" name="Priority"/>
    <tableColumn id="11" xr3:uid="{00000000-0010-0000-0400-00000B000000}" name="Status"/>
    <tableColumn id="12" xr3:uid="{00000000-0010-0000-0400-00000C000000}" name="Test data"/>
    <tableColumn id="13" xr3:uid="{00000000-0010-0000-0400-00000D000000}" name="Created by"/>
    <tableColumn id="14" xr3:uid="{00000000-0010-0000-0400-00000E000000}" name="Assigned to"/>
    <tableColumn id="16" xr3:uid="{00000000-0010-0000-0400-000010000000}" name="Test case ID"/>
    <tableColumn id="17" xr3:uid="{00000000-0010-0000-0400-000011000000}" name="Comment"/>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FailedBlockedTests" displayName="FailedBlockedTests" ref="A1:H185" totalsRowShown="0" headerRowDxfId="35">
  <autoFilter ref="A1:H185" xr:uid="{00000000-0009-0000-0100-000002000000}"/>
  <tableColumns count="8">
    <tableColumn id="1" xr3:uid="{00000000-0010-0000-0500-000001000000}" name="Test Case ID"/>
    <tableColumn id="2" xr3:uid="{00000000-0010-0000-0500-000002000000}" name="Module"/>
    <tableColumn id="3" xr3:uid="{00000000-0010-0000-0500-000003000000}" name="Title"/>
    <tableColumn id="4" xr3:uid="{00000000-0010-0000-0500-000004000000}" name="Priority"/>
    <tableColumn id="5" xr3:uid="{00000000-0010-0000-0500-000005000000}" name="Status"/>
    <tableColumn id="6" xr3:uid="{00000000-0010-0000-0500-000006000000}" name="Actual result"/>
    <tableColumn id="7" xr3:uid="{00000000-0010-0000-0500-000007000000}" name="Bug ID"/>
    <tableColumn id="8" xr3:uid="{00000000-0010-0000-0500-000008000000}" name="Bug summary / reas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Normal="100" workbookViewId="0">
      <pane ySplit="1" topLeftCell="A15" activePane="bottomLeft" state="frozen"/>
      <selection pane="bottomLeft" activeCell="D17" sqref="D17"/>
    </sheetView>
  </sheetViews>
  <sheetFormatPr defaultColWidth="8.6328125" defaultRowHeight="14.5" x14ac:dyDescent="0.35"/>
  <cols>
    <col min="1" max="1" width="22" customWidth="1"/>
    <col min="2" max="2" width="70" customWidth="1"/>
  </cols>
  <sheetData>
    <row r="1" spans="1:2" x14ac:dyDescent="0.35">
      <c r="A1" s="7" t="s">
        <v>0</v>
      </c>
      <c r="B1" s="7" t="s">
        <v>1</v>
      </c>
    </row>
    <row r="2" spans="1:2" x14ac:dyDescent="0.35">
      <c r="A2" s="8" t="s">
        <v>2</v>
      </c>
      <c r="B2" s="9" t="s">
        <v>3</v>
      </c>
    </row>
    <row r="3" spans="1:2" x14ac:dyDescent="0.35">
      <c r="A3" s="8" t="s">
        <v>4</v>
      </c>
      <c r="B3" s="9" t="s">
        <v>5</v>
      </c>
    </row>
    <row r="4" spans="1:2" x14ac:dyDescent="0.35">
      <c r="A4" s="8" t="s">
        <v>6</v>
      </c>
      <c r="B4" s="9">
        <v>2</v>
      </c>
    </row>
    <row r="5" spans="1:2" x14ac:dyDescent="0.35">
      <c r="A5" s="8" t="s">
        <v>7</v>
      </c>
      <c r="B5" s="9" t="s">
        <v>8</v>
      </c>
    </row>
    <row r="6" spans="1:2" x14ac:dyDescent="0.35">
      <c r="A6" s="8" t="s">
        <v>9</v>
      </c>
      <c r="B6" s="9" t="s">
        <v>10</v>
      </c>
    </row>
    <row r="7" spans="1:2" x14ac:dyDescent="0.35">
      <c r="A7" s="8" t="s">
        <v>11</v>
      </c>
      <c r="B7" s="9" t="s">
        <v>12</v>
      </c>
    </row>
    <row r="8" spans="1:2" x14ac:dyDescent="0.35">
      <c r="A8" s="8" t="s">
        <v>13</v>
      </c>
      <c r="B8" s="9" t="s">
        <v>14</v>
      </c>
    </row>
    <row r="9" spans="1:2" x14ac:dyDescent="0.35">
      <c r="A9" s="8" t="s">
        <v>15</v>
      </c>
      <c r="B9" s="9" t="s">
        <v>16</v>
      </c>
    </row>
    <row r="10" spans="1:2" x14ac:dyDescent="0.35">
      <c r="A10" s="8" t="s">
        <v>17</v>
      </c>
      <c r="B10" s="9" t="s">
        <v>18</v>
      </c>
    </row>
    <row r="11" spans="1:2" x14ac:dyDescent="0.35">
      <c r="A11" s="8" t="s">
        <v>19</v>
      </c>
      <c r="B11" s="9" t="s">
        <v>20</v>
      </c>
    </row>
    <row r="12" spans="1:2" x14ac:dyDescent="0.35">
      <c r="A12" s="8" t="s">
        <v>21</v>
      </c>
      <c r="B12" s="9" t="s">
        <v>22</v>
      </c>
    </row>
    <row r="13" spans="1:2" x14ac:dyDescent="0.35">
      <c r="A13" s="8" t="s">
        <v>23</v>
      </c>
      <c r="B13" s="9" t="s">
        <v>24</v>
      </c>
    </row>
    <row r="14" spans="1:2" x14ac:dyDescent="0.35">
      <c r="A14" s="8" t="s">
        <v>25</v>
      </c>
      <c r="B14" s="9" t="s">
        <v>26</v>
      </c>
    </row>
    <row r="15" spans="1:2" ht="43.5" x14ac:dyDescent="0.35">
      <c r="A15" s="8" t="s">
        <v>27</v>
      </c>
      <c r="B15" s="9" t="s">
        <v>28</v>
      </c>
    </row>
    <row r="16" spans="1:2" x14ac:dyDescent="0.35">
      <c r="A16" s="8" t="s">
        <v>29</v>
      </c>
      <c r="B16" s="9" t="s">
        <v>30</v>
      </c>
    </row>
    <row r="17" spans="1:2" ht="29" x14ac:dyDescent="0.35">
      <c r="A17" s="8" t="s">
        <v>31</v>
      </c>
      <c r="B17" s="9" t="s">
        <v>32</v>
      </c>
    </row>
    <row r="18" spans="1:2" x14ac:dyDescent="0.35">
      <c r="A18" s="8" t="s">
        <v>33</v>
      </c>
      <c r="B18" s="9" t="s">
        <v>34</v>
      </c>
    </row>
    <row r="19" spans="1:2" x14ac:dyDescent="0.35">
      <c r="A19" s="8" t="s">
        <v>35</v>
      </c>
      <c r="B19" s="9" t="s">
        <v>36</v>
      </c>
    </row>
    <row r="20" spans="1:2" ht="43.5" x14ac:dyDescent="0.35">
      <c r="A20" s="8" t="s">
        <v>37</v>
      </c>
      <c r="B20" s="9" t="s">
        <v>38</v>
      </c>
    </row>
    <row r="21" spans="1:2" x14ac:dyDescent="0.35">
      <c r="A21" s="8" t="s">
        <v>39</v>
      </c>
      <c r="B21" s="9" t="s">
        <v>40</v>
      </c>
    </row>
    <row r="22" spans="1:2" x14ac:dyDescent="0.35">
      <c r="A22" s="8" t="s">
        <v>41</v>
      </c>
      <c r="B22" s="9" t="s">
        <v>42</v>
      </c>
    </row>
    <row r="23" spans="1:2" ht="29" x14ac:dyDescent="0.35">
      <c r="A23" s="8" t="s">
        <v>43</v>
      </c>
      <c r="B23" s="9" t="s">
        <v>44</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zoomScaleNormal="100" workbookViewId="0">
      <pane ySplit="1" topLeftCell="A99" activePane="bottomLeft" state="frozen"/>
      <selection pane="bottomLeft" activeCell="G94" sqref="G94"/>
    </sheetView>
  </sheetViews>
  <sheetFormatPr defaultColWidth="8.6328125" defaultRowHeight="14.5" x14ac:dyDescent="0.35"/>
  <cols>
    <col min="1" max="1" width="17.90625" customWidth="1"/>
    <col min="2" max="2" width="70" customWidth="1"/>
    <col min="3" max="3" width="22" customWidth="1"/>
    <col min="4" max="4" width="38" customWidth="1"/>
  </cols>
  <sheetData>
    <row r="1" spans="1:4" s="26" customFormat="1" ht="18.5" x14ac:dyDescent="0.45">
      <c r="A1" s="25" t="s">
        <v>45</v>
      </c>
      <c r="B1" s="25" t="s">
        <v>46</v>
      </c>
      <c r="C1" s="25" t="s">
        <v>47</v>
      </c>
      <c r="D1" s="25" t="s">
        <v>48</v>
      </c>
    </row>
    <row r="2" spans="1:4" x14ac:dyDescent="0.35">
      <c r="A2" s="10" t="s">
        <v>49</v>
      </c>
      <c r="B2" s="9" t="s">
        <v>50</v>
      </c>
      <c r="C2" s="9" t="s">
        <v>51</v>
      </c>
      <c r="D2" s="9" t="s">
        <v>52</v>
      </c>
    </row>
    <row r="3" spans="1:4" x14ac:dyDescent="0.35">
      <c r="A3" s="10" t="s">
        <v>53</v>
      </c>
      <c r="B3" s="9" t="s">
        <v>54</v>
      </c>
      <c r="C3" s="9" t="s">
        <v>51</v>
      </c>
      <c r="D3" s="9" t="s">
        <v>55</v>
      </c>
    </row>
    <row r="4" spans="1:4" x14ac:dyDescent="0.35">
      <c r="A4" s="10" t="s">
        <v>56</v>
      </c>
      <c r="B4" s="9" t="s">
        <v>57</v>
      </c>
      <c r="C4" s="9" t="s">
        <v>58</v>
      </c>
      <c r="D4" s="9" t="s">
        <v>59</v>
      </c>
    </row>
    <row r="5" spans="1:4" x14ac:dyDescent="0.35">
      <c r="A5" s="10" t="s">
        <v>60</v>
      </c>
      <c r="B5" s="9" t="s">
        <v>61</v>
      </c>
      <c r="C5" s="9" t="s">
        <v>62</v>
      </c>
      <c r="D5" s="9" t="s">
        <v>63</v>
      </c>
    </row>
    <row r="6" spans="1:4" x14ac:dyDescent="0.35">
      <c r="A6" s="10" t="s">
        <v>64</v>
      </c>
      <c r="B6" s="9" t="s">
        <v>65</v>
      </c>
      <c r="C6" s="9" t="s">
        <v>51</v>
      </c>
      <c r="D6" s="9" t="s">
        <v>66</v>
      </c>
    </row>
    <row r="7" spans="1:4" x14ac:dyDescent="0.35">
      <c r="A7" s="10" t="s">
        <v>67</v>
      </c>
      <c r="B7" s="9" t="s">
        <v>68</v>
      </c>
      <c r="C7" s="9" t="s">
        <v>69</v>
      </c>
      <c r="D7" s="9" t="s">
        <v>70</v>
      </c>
    </row>
    <row r="8" spans="1:4" x14ac:dyDescent="0.35">
      <c r="A8" s="10" t="s">
        <v>71</v>
      </c>
      <c r="B8" s="9" t="s">
        <v>72</v>
      </c>
      <c r="C8" s="9" t="s">
        <v>73</v>
      </c>
      <c r="D8" s="9" t="s">
        <v>74</v>
      </c>
    </row>
    <row r="9" spans="1:4" x14ac:dyDescent="0.35">
      <c r="A9" s="10" t="s">
        <v>75</v>
      </c>
      <c r="B9" s="9" t="s">
        <v>76</v>
      </c>
      <c r="C9" s="9" t="s">
        <v>51</v>
      </c>
      <c r="D9" s="9" t="s">
        <v>77</v>
      </c>
    </row>
    <row r="10" spans="1:4" x14ac:dyDescent="0.35">
      <c r="A10" s="10" t="s">
        <v>78</v>
      </c>
      <c r="B10" s="9" t="s">
        <v>79</v>
      </c>
      <c r="C10" s="9" t="s">
        <v>51</v>
      </c>
      <c r="D10" s="9" t="s">
        <v>80</v>
      </c>
    </row>
    <row r="11" spans="1:4" x14ac:dyDescent="0.35">
      <c r="A11" s="10" t="s">
        <v>81</v>
      </c>
      <c r="B11" s="9" t="s">
        <v>82</v>
      </c>
      <c r="C11" s="9" t="s">
        <v>83</v>
      </c>
      <c r="D11" s="9" t="s">
        <v>84</v>
      </c>
    </row>
    <row r="12" spans="1:4" x14ac:dyDescent="0.35">
      <c r="A12" s="10" t="s">
        <v>85</v>
      </c>
      <c r="B12" s="9" t="s">
        <v>86</v>
      </c>
      <c r="C12" s="9" t="s">
        <v>87</v>
      </c>
      <c r="D12" s="9" t="s">
        <v>55</v>
      </c>
    </row>
    <row r="13" spans="1:4" x14ac:dyDescent="0.35">
      <c r="A13" s="10" t="s">
        <v>88</v>
      </c>
      <c r="B13" s="9" t="s">
        <v>89</v>
      </c>
      <c r="C13" s="9" t="s">
        <v>90</v>
      </c>
      <c r="D13" s="9" t="s">
        <v>91</v>
      </c>
    </row>
    <row r="14" spans="1:4" x14ac:dyDescent="0.35">
      <c r="A14" s="10" t="s">
        <v>92</v>
      </c>
      <c r="B14" s="9" t="s">
        <v>93</v>
      </c>
      <c r="C14" s="9" t="s">
        <v>94</v>
      </c>
      <c r="D14" s="9" t="s">
        <v>95</v>
      </c>
    </row>
    <row r="15" spans="1:4" x14ac:dyDescent="0.35">
      <c r="A15" s="10" t="s">
        <v>96</v>
      </c>
      <c r="B15" s="9" t="s">
        <v>97</v>
      </c>
      <c r="C15" s="9" t="s">
        <v>98</v>
      </c>
      <c r="D15" s="9" t="s">
        <v>99</v>
      </c>
    </row>
    <row r="16" spans="1:4" x14ac:dyDescent="0.35">
      <c r="A16" s="10" t="s">
        <v>100</v>
      </c>
      <c r="B16" s="9" t="s">
        <v>101</v>
      </c>
      <c r="C16" s="9" t="s">
        <v>98</v>
      </c>
      <c r="D16" s="9" t="s">
        <v>102</v>
      </c>
    </row>
    <row r="17" spans="1:4" x14ac:dyDescent="0.35">
      <c r="A17" s="10" t="s">
        <v>103</v>
      </c>
      <c r="B17" s="9" t="s">
        <v>104</v>
      </c>
      <c r="C17" s="9" t="s">
        <v>105</v>
      </c>
      <c r="D17" s="9" t="s">
        <v>106</v>
      </c>
    </row>
    <row r="18" spans="1:4" x14ac:dyDescent="0.35">
      <c r="A18" s="10" t="s">
        <v>107</v>
      </c>
      <c r="B18" s="9" t="s">
        <v>108</v>
      </c>
      <c r="C18" s="9" t="s">
        <v>109</v>
      </c>
      <c r="D18" s="9" t="s">
        <v>110</v>
      </c>
    </row>
    <row r="19" spans="1:4" x14ac:dyDescent="0.35">
      <c r="A19" s="10" t="s">
        <v>111</v>
      </c>
      <c r="B19" s="9" t="s">
        <v>112</v>
      </c>
      <c r="C19" s="9" t="s">
        <v>113</v>
      </c>
      <c r="D19" s="9" t="s">
        <v>114</v>
      </c>
    </row>
    <row r="20" spans="1:4" x14ac:dyDescent="0.35">
      <c r="A20" s="10" t="s">
        <v>115</v>
      </c>
      <c r="B20" s="9" t="s">
        <v>116</v>
      </c>
      <c r="C20" s="9" t="s">
        <v>117</v>
      </c>
      <c r="D20" s="9" t="s">
        <v>118</v>
      </c>
    </row>
    <row r="21" spans="1:4" x14ac:dyDescent="0.35">
      <c r="A21" s="10" t="s">
        <v>119</v>
      </c>
      <c r="B21" s="9" t="s">
        <v>120</v>
      </c>
      <c r="C21" s="9" t="s">
        <v>121</v>
      </c>
      <c r="D21" s="9" t="s">
        <v>122</v>
      </c>
    </row>
    <row r="22" spans="1:4" x14ac:dyDescent="0.35">
      <c r="A22" s="10" t="s">
        <v>123</v>
      </c>
      <c r="B22" s="9" t="s">
        <v>124</v>
      </c>
      <c r="C22" s="9" t="s">
        <v>125</v>
      </c>
      <c r="D22" s="9" t="s">
        <v>126</v>
      </c>
    </row>
    <row r="23" spans="1:4" x14ac:dyDescent="0.35">
      <c r="A23" s="10" t="s">
        <v>127</v>
      </c>
      <c r="B23" s="9" t="s">
        <v>128</v>
      </c>
      <c r="C23" s="9" t="s">
        <v>129</v>
      </c>
      <c r="D23" s="9" t="s">
        <v>130</v>
      </c>
    </row>
    <row r="24" spans="1:4" x14ac:dyDescent="0.35">
      <c r="A24" s="10" t="s">
        <v>131</v>
      </c>
      <c r="B24" s="9" t="s">
        <v>132</v>
      </c>
      <c r="C24" s="9" t="s">
        <v>98</v>
      </c>
      <c r="D24" s="9" t="s">
        <v>133</v>
      </c>
    </row>
    <row r="25" spans="1:4" x14ac:dyDescent="0.35">
      <c r="A25" s="10" t="s">
        <v>134</v>
      </c>
      <c r="B25" s="9" t="s">
        <v>135</v>
      </c>
      <c r="C25" s="9" t="s">
        <v>136</v>
      </c>
      <c r="D25" s="9" t="s">
        <v>137</v>
      </c>
    </row>
    <row r="26" spans="1:4" x14ac:dyDescent="0.35">
      <c r="A26" s="10" t="s">
        <v>138</v>
      </c>
      <c r="B26" s="9" t="s">
        <v>139</v>
      </c>
      <c r="C26" s="9" t="s">
        <v>140</v>
      </c>
      <c r="D26" s="9" t="s">
        <v>141</v>
      </c>
    </row>
    <row r="27" spans="1:4" x14ac:dyDescent="0.35">
      <c r="A27" s="10" t="s">
        <v>142</v>
      </c>
      <c r="B27" s="9" t="s">
        <v>143</v>
      </c>
      <c r="C27" s="9" t="s">
        <v>140</v>
      </c>
      <c r="D27" s="9" t="s">
        <v>144</v>
      </c>
    </row>
    <row r="28" spans="1:4" x14ac:dyDescent="0.35">
      <c r="A28" s="10" t="s">
        <v>145</v>
      </c>
      <c r="B28" s="9" t="s">
        <v>146</v>
      </c>
      <c r="C28" s="9" t="s">
        <v>147</v>
      </c>
      <c r="D28" s="9" t="s">
        <v>148</v>
      </c>
    </row>
    <row r="29" spans="1:4" x14ac:dyDescent="0.35">
      <c r="A29" s="10" t="s">
        <v>149</v>
      </c>
      <c r="B29" s="9" t="s">
        <v>150</v>
      </c>
      <c r="C29" s="9" t="s">
        <v>151</v>
      </c>
      <c r="D29" s="9" t="s">
        <v>152</v>
      </c>
    </row>
    <row r="30" spans="1:4" x14ac:dyDescent="0.35">
      <c r="A30" s="10" t="s">
        <v>153</v>
      </c>
      <c r="B30" s="9" t="s">
        <v>154</v>
      </c>
      <c r="C30" s="9" t="s">
        <v>140</v>
      </c>
      <c r="D30" s="9" t="s">
        <v>155</v>
      </c>
    </row>
    <row r="31" spans="1:4" x14ac:dyDescent="0.35">
      <c r="A31" s="10" t="s">
        <v>156</v>
      </c>
      <c r="B31" s="9" t="s">
        <v>116</v>
      </c>
      <c r="C31" s="9" t="s">
        <v>157</v>
      </c>
      <c r="D31" s="9" t="s">
        <v>158</v>
      </c>
    </row>
    <row r="32" spans="1:4" x14ac:dyDescent="0.35">
      <c r="A32" s="10" t="s">
        <v>159</v>
      </c>
      <c r="B32" s="9" t="s">
        <v>120</v>
      </c>
      <c r="C32" s="9" t="s">
        <v>157</v>
      </c>
      <c r="D32" s="9" t="s">
        <v>160</v>
      </c>
    </row>
    <row r="33" spans="1:4" x14ac:dyDescent="0.35">
      <c r="A33" s="10" t="s">
        <v>161</v>
      </c>
      <c r="B33" s="9" t="s">
        <v>124</v>
      </c>
      <c r="C33" s="9" t="s">
        <v>157</v>
      </c>
      <c r="D33" s="9" t="s">
        <v>162</v>
      </c>
    </row>
    <row r="34" spans="1:4" x14ac:dyDescent="0.35">
      <c r="A34" s="10" t="s">
        <v>163</v>
      </c>
      <c r="B34" s="9" t="s">
        <v>164</v>
      </c>
      <c r="C34" s="9" t="s">
        <v>165</v>
      </c>
      <c r="D34" s="9" t="s">
        <v>166</v>
      </c>
    </row>
    <row r="35" spans="1:4" x14ac:dyDescent="0.35">
      <c r="A35" s="10" t="s">
        <v>167</v>
      </c>
      <c r="B35" s="9" t="s">
        <v>168</v>
      </c>
      <c r="C35" s="9" t="s">
        <v>157</v>
      </c>
      <c r="D35" s="9" t="s">
        <v>169</v>
      </c>
    </row>
    <row r="36" spans="1:4" x14ac:dyDescent="0.35">
      <c r="A36" s="10" t="s">
        <v>170</v>
      </c>
      <c r="B36" s="9" t="s">
        <v>171</v>
      </c>
      <c r="C36" s="9" t="s">
        <v>136</v>
      </c>
      <c r="D36" s="9" t="s">
        <v>172</v>
      </c>
    </row>
    <row r="37" spans="1:4" x14ac:dyDescent="0.35">
      <c r="A37" s="10" t="s">
        <v>173</v>
      </c>
      <c r="B37" s="9" t="s">
        <v>174</v>
      </c>
      <c r="C37" s="9" t="s">
        <v>175</v>
      </c>
      <c r="D37" s="9" t="s">
        <v>176</v>
      </c>
    </row>
    <row r="38" spans="1:4" x14ac:dyDescent="0.35">
      <c r="A38" s="10" t="s">
        <v>177</v>
      </c>
      <c r="B38" s="9" t="s">
        <v>178</v>
      </c>
      <c r="C38" s="9" t="s">
        <v>175</v>
      </c>
      <c r="D38" s="9" t="s">
        <v>179</v>
      </c>
    </row>
    <row r="39" spans="1:4" x14ac:dyDescent="0.35">
      <c r="A39" s="10" t="s">
        <v>180</v>
      </c>
      <c r="B39" s="9" t="s">
        <v>146</v>
      </c>
      <c r="C39" s="9" t="s">
        <v>181</v>
      </c>
      <c r="D39" s="9" t="s">
        <v>182</v>
      </c>
    </row>
    <row r="40" spans="1:4" x14ac:dyDescent="0.35">
      <c r="A40" s="10" t="s">
        <v>183</v>
      </c>
      <c r="B40" s="9" t="s">
        <v>184</v>
      </c>
      <c r="C40" s="9" t="s">
        <v>185</v>
      </c>
      <c r="D40" s="9" t="s">
        <v>186</v>
      </c>
    </row>
    <row r="41" spans="1:4" x14ac:dyDescent="0.35">
      <c r="A41" s="10" t="s">
        <v>187</v>
      </c>
      <c r="B41" s="9" t="s">
        <v>150</v>
      </c>
      <c r="C41" s="9" t="s">
        <v>188</v>
      </c>
      <c r="D41" s="9" t="s">
        <v>189</v>
      </c>
    </row>
    <row r="42" spans="1:4" x14ac:dyDescent="0.35">
      <c r="A42" s="10" t="s">
        <v>190</v>
      </c>
      <c r="B42" s="9" t="s">
        <v>191</v>
      </c>
      <c r="C42" s="9" t="s">
        <v>175</v>
      </c>
      <c r="D42" s="9" t="s">
        <v>192</v>
      </c>
    </row>
    <row r="43" spans="1:4" x14ac:dyDescent="0.35">
      <c r="A43" s="10" t="s">
        <v>193</v>
      </c>
      <c r="B43" s="9" t="s">
        <v>194</v>
      </c>
      <c r="C43" s="9" t="s">
        <v>175</v>
      </c>
      <c r="D43" s="9" t="s">
        <v>195</v>
      </c>
    </row>
    <row r="44" spans="1:4" ht="29" x14ac:dyDescent="0.35">
      <c r="A44" s="10" t="s">
        <v>196</v>
      </c>
      <c r="B44" s="9" t="s">
        <v>197</v>
      </c>
      <c r="C44" s="9" t="s">
        <v>198</v>
      </c>
      <c r="D44" s="9" t="s">
        <v>199</v>
      </c>
    </row>
    <row r="45" spans="1:4" x14ac:dyDescent="0.35">
      <c r="A45" s="10" t="s">
        <v>200</v>
      </c>
      <c r="B45" s="9" t="s">
        <v>101</v>
      </c>
      <c r="C45" s="9" t="s">
        <v>198</v>
      </c>
      <c r="D45" s="9" t="s">
        <v>201</v>
      </c>
    </row>
    <row r="46" spans="1:4" x14ac:dyDescent="0.35">
      <c r="A46" s="10" t="s">
        <v>202</v>
      </c>
      <c r="B46" s="9" t="s">
        <v>146</v>
      </c>
      <c r="C46" s="9" t="s">
        <v>203</v>
      </c>
      <c r="D46" s="9" t="s">
        <v>204</v>
      </c>
    </row>
    <row r="47" spans="1:4" x14ac:dyDescent="0.35">
      <c r="A47" s="10" t="s">
        <v>205</v>
      </c>
      <c r="B47" s="9" t="s">
        <v>150</v>
      </c>
      <c r="C47" s="9" t="s">
        <v>206</v>
      </c>
      <c r="D47" s="9" t="s">
        <v>207</v>
      </c>
    </row>
    <row r="48" spans="1:4" x14ac:dyDescent="0.35">
      <c r="A48" s="10" t="s">
        <v>208</v>
      </c>
      <c r="B48" s="9" t="s">
        <v>209</v>
      </c>
      <c r="C48" s="9" t="s">
        <v>210</v>
      </c>
      <c r="D48" s="9" t="s">
        <v>211</v>
      </c>
    </row>
    <row r="49" spans="1:4" x14ac:dyDescent="0.35">
      <c r="A49" s="10" t="s">
        <v>212</v>
      </c>
      <c r="B49" s="9" t="s">
        <v>213</v>
      </c>
      <c r="C49" s="9" t="s">
        <v>214</v>
      </c>
      <c r="D49" s="9" t="s">
        <v>215</v>
      </c>
    </row>
    <row r="50" spans="1:4" x14ac:dyDescent="0.35">
      <c r="A50" s="10" t="s">
        <v>216</v>
      </c>
      <c r="B50" s="9" t="s">
        <v>135</v>
      </c>
      <c r="C50" s="9" t="s">
        <v>136</v>
      </c>
      <c r="D50" s="9" t="s">
        <v>217</v>
      </c>
    </row>
    <row r="51" spans="1:4" x14ac:dyDescent="0.35">
      <c r="A51" s="10" t="s">
        <v>218</v>
      </c>
      <c r="B51" s="9" t="s">
        <v>219</v>
      </c>
      <c r="C51" s="9" t="s">
        <v>220</v>
      </c>
      <c r="D51" s="9" t="s">
        <v>221</v>
      </c>
    </row>
    <row r="52" spans="1:4" x14ac:dyDescent="0.35">
      <c r="A52" s="10" t="s">
        <v>222</v>
      </c>
      <c r="B52" s="9" t="s">
        <v>143</v>
      </c>
      <c r="C52" s="9" t="s">
        <v>220</v>
      </c>
      <c r="D52" s="9" t="s">
        <v>223</v>
      </c>
    </row>
    <row r="53" spans="1:4" x14ac:dyDescent="0.35">
      <c r="A53" s="10" t="s">
        <v>224</v>
      </c>
      <c r="B53" s="9" t="s">
        <v>225</v>
      </c>
      <c r="C53" s="9" t="s">
        <v>226</v>
      </c>
      <c r="D53" s="9" t="s">
        <v>227</v>
      </c>
    </row>
    <row r="54" spans="1:4" x14ac:dyDescent="0.35">
      <c r="A54" s="10" t="s">
        <v>228</v>
      </c>
      <c r="B54" s="9" t="s">
        <v>229</v>
      </c>
      <c r="C54" s="9" t="s">
        <v>230</v>
      </c>
      <c r="D54" s="9" t="s">
        <v>231</v>
      </c>
    </row>
    <row r="55" spans="1:4" x14ac:dyDescent="0.35">
      <c r="A55" s="10" t="s">
        <v>232</v>
      </c>
      <c r="B55" s="9" t="s">
        <v>233</v>
      </c>
      <c r="C55" s="9" t="s">
        <v>234</v>
      </c>
      <c r="D55" s="9" t="s">
        <v>235</v>
      </c>
    </row>
    <row r="56" spans="1:4" x14ac:dyDescent="0.35">
      <c r="A56" s="10" t="s">
        <v>236</v>
      </c>
      <c r="B56" s="9" t="s">
        <v>237</v>
      </c>
      <c r="C56" s="9" t="s">
        <v>136</v>
      </c>
      <c r="D56" s="9" t="s">
        <v>238</v>
      </c>
    </row>
    <row r="57" spans="1:4" x14ac:dyDescent="0.35">
      <c r="A57" s="10" t="s">
        <v>239</v>
      </c>
      <c r="B57" s="9" t="s">
        <v>240</v>
      </c>
      <c r="C57" s="9" t="s">
        <v>241</v>
      </c>
      <c r="D57" s="9" t="s">
        <v>242</v>
      </c>
    </row>
    <row r="58" spans="1:4" x14ac:dyDescent="0.35">
      <c r="A58" s="10" t="s">
        <v>243</v>
      </c>
      <c r="B58" s="9" t="s">
        <v>178</v>
      </c>
      <c r="C58" s="9" t="s">
        <v>241</v>
      </c>
      <c r="D58" s="9" t="s">
        <v>244</v>
      </c>
    </row>
    <row r="59" spans="1:4" x14ac:dyDescent="0.35">
      <c r="A59" s="10" t="s">
        <v>245</v>
      </c>
      <c r="B59" s="9" t="s">
        <v>229</v>
      </c>
      <c r="C59" s="9" t="s">
        <v>246</v>
      </c>
      <c r="D59" s="9" t="s">
        <v>247</v>
      </c>
    </row>
    <row r="60" spans="1:4" x14ac:dyDescent="0.35">
      <c r="A60" s="10" t="s">
        <v>248</v>
      </c>
      <c r="B60" s="9" t="s">
        <v>233</v>
      </c>
      <c r="C60" s="9" t="s">
        <v>249</v>
      </c>
      <c r="D60" s="9" t="s">
        <v>250</v>
      </c>
    </row>
    <row r="61" spans="1:4" x14ac:dyDescent="0.35">
      <c r="A61" s="10" t="s">
        <v>251</v>
      </c>
      <c r="B61" s="9" t="s">
        <v>252</v>
      </c>
      <c r="C61" s="9" t="s">
        <v>253</v>
      </c>
      <c r="D61" s="9" t="s">
        <v>254</v>
      </c>
    </row>
    <row r="62" spans="1:4" x14ac:dyDescent="0.35">
      <c r="A62" s="10" t="s">
        <v>255</v>
      </c>
      <c r="B62" s="9" t="s">
        <v>256</v>
      </c>
      <c r="C62" s="9" t="s">
        <v>257</v>
      </c>
      <c r="D62" s="9" t="s">
        <v>258</v>
      </c>
    </row>
    <row r="63" spans="1:4" x14ac:dyDescent="0.35">
      <c r="A63" s="10" t="s">
        <v>259</v>
      </c>
      <c r="B63" s="9" t="s">
        <v>101</v>
      </c>
      <c r="C63" s="9" t="s">
        <v>257</v>
      </c>
      <c r="D63" s="9" t="s">
        <v>260</v>
      </c>
    </row>
    <row r="64" spans="1:4" x14ac:dyDescent="0.35">
      <c r="A64" s="10" t="s">
        <v>261</v>
      </c>
      <c r="B64" s="9" t="s">
        <v>229</v>
      </c>
      <c r="C64" s="9" t="s">
        <v>262</v>
      </c>
      <c r="D64" s="9" t="s">
        <v>263</v>
      </c>
    </row>
    <row r="65" spans="1:4" x14ac:dyDescent="0.35">
      <c r="A65" s="10" t="s">
        <v>264</v>
      </c>
      <c r="B65" s="9" t="s">
        <v>265</v>
      </c>
      <c r="C65" s="9" t="s">
        <v>266</v>
      </c>
      <c r="D65" s="9" t="s">
        <v>267</v>
      </c>
    </row>
    <row r="66" spans="1:4" x14ac:dyDescent="0.35">
      <c r="A66" s="10" t="s">
        <v>268</v>
      </c>
      <c r="B66" s="9" t="s">
        <v>269</v>
      </c>
      <c r="C66" s="9" t="s">
        <v>270</v>
      </c>
      <c r="D66" s="9" t="s">
        <v>271</v>
      </c>
    </row>
    <row r="67" spans="1:4" x14ac:dyDescent="0.35">
      <c r="A67" s="10" t="s">
        <v>272</v>
      </c>
      <c r="B67" s="9" t="s">
        <v>273</v>
      </c>
      <c r="C67" s="9" t="s">
        <v>257</v>
      </c>
      <c r="D67" s="9" t="s">
        <v>274</v>
      </c>
    </row>
    <row r="68" spans="1:4" x14ac:dyDescent="0.35">
      <c r="A68" s="10" t="s">
        <v>275</v>
      </c>
      <c r="B68" s="9" t="s">
        <v>135</v>
      </c>
      <c r="C68" s="9" t="s">
        <v>136</v>
      </c>
      <c r="D68" s="9" t="s">
        <v>276</v>
      </c>
    </row>
    <row r="69" spans="1:4" x14ac:dyDescent="0.35">
      <c r="A69" s="10" t="s">
        <v>277</v>
      </c>
      <c r="B69" s="9" t="s">
        <v>278</v>
      </c>
      <c r="C69" s="9" t="s">
        <v>279</v>
      </c>
      <c r="D69" s="9" t="s">
        <v>280</v>
      </c>
    </row>
    <row r="70" spans="1:4" x14ac:dyDescent="0.35">
      <c r="A70" s="10" t="s">
        <v>281</v>
      </c>
      <c r="B70" s="9" t="s">
        <v>101</v>
      </c>
      <c r="C70" s="9" t="s">
        <v>279</v>
      </c>
      <c r="D70" s="9" t="s">
        <v>282</v>
      </c>
    </row>
    <row r="71" spans="1:4" x14ac:dyDescent="0.35">
      <c r="A71" s="10" t="s">
        <v>283</v>
      </c>
      <c r="B71" s="9" t="s">
        <v>284</v>
      </c>
      <c r="C71" s="9" t="s">
        <v>285</v>
      </c>
      <c r="D71" s="9" t="s">
        <v>286</v>
      </c>
    </row>
    <row r="72" spans="1:4" x14ac:dyDescent="0.35">
      <c r="A72" s="10" t="s">
        <v>287</v>
      </c>
      <c r="B72" s="9" t="s">
        <v>229</v>
      </c>
      <c r="C72" s="9" t="s">
        <v>288</v>
      </c>
      <c r="D72" s="9" t="s">
        <v>289</v>
      </c>
    </row>
    <row r="73" spans="1:4" x14ac:dyDescent="0.35">
      <c r="A73" s="10" t="s">
        <v>290</v>
      </c>
      <c r="B73" s="9" t="s">
        <v>265</v>
      </c>
      <c r="C73" s="9" t="s">
        <v>291</v>
      </c>
      <c r="D73" s="9" t="s">
        <v>292</v>
      </c>
    </row>
    <row r="74" spans="1:4" x14ac:dyDescent="0.35">
      <c r="A74" s="10" t="s">
        <v>293</v>
      </c>
      <c r="B74" s="9" t="s">
        <v>269</v>
      </c>
      <c r="C74" s="9" t="s">
        <v>294</v>
      </c>
      <c r="D74" s="9" t="s">
        <v>295</v>
      </c>
    </row>
    <row r="75" spans="1:4" x14ac:dyDescent="0.35">
      <c r="A75" s="10" t="s">
        <v>296</v>
      </c>
      <c r="B75" s="9" t="s">
        <v>297</v>
      </c>
      <c r="C75" s="9" t="s">
        <v>279</v>
      </c>
      <c r="D75" s="9" t="s">
        <v>298</v>
      </c>
    </row>
    <row r="76" spans="1:4" x14ac:dyDescent="0.35">
      <c r="A76" s="10" t="s">
        <v>299</v>
      </c>
      <c r="B76" s="9" t="s">
        <v>300</v>
      </c>
      <c r="C76" s="9" t="s">
        <v>301</v>
      </c>
      <c r="D76" s="9" t="s">
        <v>302</v>
      </c>
    </row>
    <row r="77" spans="1:4" x14ac:dyDescent="0.35">
      <c r="A77" s="10" t="s">
        <v>303</v>
      </c>
      <c r="B77" s="9" t="s">
        <v>304</v>
      </c>
      <c r="C77" s="9" t="s">
        <v>305</v>
      </c>
      <c r="D77" s="9" t="s">
        <v>306</v>
      </c>
    </row>
    <row r="78" spans="1:4" x14ac:dyDescent="0.35">
      <c r="A78" s="10" t="s">
        <v>307</v>
      </c>
      <c r="B78" s="9" t="s">
        <v>308</v>
      </c>
      <c r="C78" s="9" t="s">
        <v>309</v>
      </c>
      <c r="D78" s="9" t="s">
        <v>310</v>
      </c>
    </row>
    <row r="79" spans="1:4" x14ac:dyDescent="0.35">
      <c r="A79" s="10" t="s">
        <v>311</v>
      </c>
      <c r="B79" s="9" t="s">
        <v>265</v>
      </c>
      <c r="C79" s="9" t="s">
        <v>312</v>
      </c>
      <c r="D79" s="9" t="s">
        <v>313</v>
      </c>
    </row>
    <row r="80" spans="1:4" x14ac:dyDescent="0.35">
      <c r="A80" s="10" t="s">
        <v>314</v>
      </c>
      <c r="B80" s="9" t="s">
        <v>269</v>
      </c>
      <c r="C80" s="9" t="s">
        <v>315</v>
      </c>
      <c r="D80" s="9" t="s">
        <v>316</v>
      </c>
    </row>
    <row r="81" spans="1:4" x14ac:dyDescent="0.35">
      <c r="A81" s="10" t="s">
        <v>317</v>
      </c>
      <c r="B81" s="9" t="s">
        <v>318</v>
      </c>
      <c r="C81" s="9" t="s">
        <v>319</v>
      </c>
      <c r="D81" s="9" t="s">
        <v>320</v>
      </c>
    </row>
    <row r="82" spans="1:4" x14ac:dyDescent="0.35">
      <c r="A82" s="10" t="s">
        <v>321</v>
      </c>
      <c r="B82" s="9" t="s">
        <v>322</v>
      </c>
      <c r="C82" s="9" t="s">
        <v>301</v>
      </c>
      <c r="D82" s="9" t="s">
        <v>323</v>
      </c>
    </row>
    <row r="83" spans="1:4" x14ac:dyDescent="0.35">
      <c r="A83" s="10" t="s">
        <v>324</v>
      </c>
      <c r="B83" s="9" t="s">
        <v>101</v>
      </c>
      <c r="C83" s="9" t="s">
        <v>301</v>
      </c>
      <c r="D83" s="9" t="s">
        <v>325</v>
      </c>
    </row>
    <row r="84" spans="1:4" x14ac:dyDescent="0.35">
      <c r="A84" s="10" t="s">
        <v>326</v>
      </c>
      <c r="B84" s="9" t="s">
        <v>327</v>
      </c>
      <c r="C84" s="9" t="s">
        <v>136</v>
      </c>
      <c r="D84" s="9" t="s">
        <v>328</v>
      </c>
    </row>
    <row r="85" spans="1:4" x14ac:dyDescent="0.35">
      <c r="A85" s="10" t="s">
        <v>329</v>
      </c>
      <c r="B85" s="9" t="s">
        <v>330</v>
      </c>
      <c r="C85" s="9" t="s">
        <v>331</v>
      </c>
      <c r="D85" s="9" t="s">
        <v>332</v>
      </c>
    </row>
    <row r="86" spans="1:4" x14ac:dyDescent="0.35">
      <c r="A86" s="10" t="s">
        <v>333</v>
      </c>
      <c r="B86" s="9" t="s">
        <v>334</v>
      </c>
      <c r="C86" s="9" t="s">
        <v>331</v>
      </c>
      <c r="D86" s="9" t="s">
        <v>335</v>
      </c>
    </row>
    <row r="87" spans="1:4" x14ac:dyDescent="0.35">
      <c r="A87" s="10" t="s">
        <v>336</v>
      </c>
      <c r="B87" s="9" t="s">
        <v>337</v>
      </c>
      <c r="C87" s="9" t="s">
        <v>331</v>
      </c>
      <c r="D87" s="9" t="s">
        <v>338</v>
      </c>
    </row>
    <row r="88" spans="1:4" x14ac:dyDescent="0.35">
      <c r="A88" s="10" t="s">
        <v>339</v>
      </c>
      <c r="B88" s="9" t="s">
        <v>229</v>
      </c>
      <c r="C88" s="9" t="s">
        <v>340</v>
      </c>
      <c r="D88" s="9" t="s">
        <v>341</v>
      </c>
    </row>
    <row r="89" spans="1:4" x14ac:dyDescent="0.35">
      <c r="A89" s="10" t="s">
        <v>342</v>
      </c>
      <c r="B89" s="9" t="s">
        <v>343</v>
      </c>
      <c r="C89" s="9" t="s">
        <v>344</v>
      </c>
      <c r="D89" s="9" t="s">
        <v>345</v>
      </c>
    </row>
    <row r="90" spans="1:4" x14ac:dyDescent="0.35">
      <c r="A90" s="10" t="s">
        <v>346</v>
      </c>
      <c r="B90" s="9" t="s">
        <v>347</v>
      </c>
      <c r="C90" s="9" t="s">
        <v>136</v>
      </c>
      <c r="D90" s="9" t="s">
        <v>348</v>
      </c>
    </row>
    <row r="91" spans="1:4" x14ac:dyDescent="0.35">
      <c r="A91" s="10" t="s">
        <v>349</v>
      </c>
      <c r="B91" s="9" t="s">
        <v>350</v>
      </c>
      <c r="C91" s="9" t="s">
        <v>351</v>
      </c>
      <c r="D91" s="9" t="s">
        <v>352</v>
      </c>
    </row>
    <row r="92" spans="1:4" ht="29" x14ac:dyDescent="0.35">
      <c r="A92" s="10" t="s">
        <v>353</v>
      </c>
      <c r="B92" s="9" t="s">
        <v>354</v>
      </c>
      <c r="C92" s="9" t="s">
        <v>355</v>
      </c>
      <c r="D92" s="9" t="s">
        <v>356</v>
      </c>
    </row>
    <row r="93" spans="1:4" x14ac:dyDescent="0.35">
      <c r="A93" s="10" t="s">
        <v>357</v>
      </c>
      <c r="B93" s="9" t="s">
        <v>358</v>
      </c>
      <c r="C93" s="9" t="s">
        <v>355</v>
      </c>
      <c r="D93" s="9" t="s">
        <v>359</v>
      </c>
    </row>
    <row r="94" spans="1:4" x14ac:dyDescent="0.35">
      <c r="A94" s="10" t="s">
        <v>360</v>
      </c>
      <c r="B94" s="9" t="s">
        <v>229</v>
      </c>
      <c r="C94" s="9" t="s">
        <v>361</v>
      </c>
      <c r="D94" s="9" t="s">
        <v>362</v>
      </c>
    </row>
    <row r="95" spans="1:4" x14ac:dyDescent="0.35">
      <c r="A95" s="10" t="s">
        <v>363</v>
      </c>
      <c r="B95" s="9" t="s">
        <v>343</v>
      </c>
      <c r="C95" s="9" t="s">
        <v>364</v>
      </c>
      <c r="D95" s="9" t="s">
        <v>365</v>
      </c>
    </row>
    <row r="96" spans="1:4" x14ac:dyDescent="0.35">
      <c r="A96" s="10" t="s">
        <v>366</v>
      </c>
      <c r="B96" s="9" t="s">
        <v>237</v>
      </c>
      <c r="C96" s="9" t="s">
        <v>136</v>
      </c>
      <c r="D96" s="9" t="s">
        <v>367</v>
      </c>
    </row>
    <row r="97" spans="1:4" x14ac:dyDescent="0.35">
      <c r="A97" s="10" t="s">
        <v>368</v>
      </c>
      <c r="B97" s="9" t="s">
        <v>369</v>
      </c>
      <c r="C97" s="9" t="s">
        <v>370</v>
      </c>
      <c r="D97" s="9" t="s">
        <v>371</v>
      </c>
    </row>
    <row r="98" spans="1:4" x14ac:dyDescent="0.35">
      <c r="A98" s="10" t="s">
        <v>372</v>
      </c>
      <c r="B98" s="9" t="s">
        <v>373</v>
      </c>
      <c r="C98" s="9" t="s">
        <v>374</v>
      </c>
      <c r="D98" s="9" t="s">
        <v>375</v>
      </c>
    </row>
    <row r="99" spans="1:4" x14ac:dyDescent="0.35">
      <c r="A99" s="10" t="s">
        <v>376</v>
      </c>
      <c r="B99" s="9" t="s">
        <v>377</v>
      </c>
      <c r="C99" s="9" t="s">
        <v>370</v>
      </c>
      <c r="D99" s="9" t="s">
        <v>378</v>
      </c>
    </row>
    <row r="100" spans="1:4" x14ac:dyDescent="0.35">
      <c r="A100" s="10" t="s">
        <v>379</v>
      </c>
      <c r="B100" s="9" t="s">
        <v>380</v>
      </c>
      <c r="C100" s="9" t="s">
        <v>381</v>
      </c>
      <c r="D100" s="9" t="s">
        <v>382</v>
      </c>
    </row>
    <row r="101" spans="1:4" x14ac:dyDescent="0.35">
      <c r="A101" s="10" t="s">
        <v>383</v>
      </c>
      <c r="B101" s="9" t="s">
        <v>229</v>
      </c>
      <c r="C101" s="9" t="s">
        <v>384</v>
      </c>
      <c r="D101" s="9" t="s">
        <v>385</v>
      </c>
    </row>
    <row r="102" spans="1:4" x14ac:dyDescent="0.35">
      <c r="A102" s="10" t="s">
        <v>386</v>
      </c>
      <c r="B102" s="9" t="s">
        <v>343</v>
      </c>
      <c r="C102" s="9" t="s">
        <v>387</v>
      </c>
      <c r="D102" s="9" t="s">
        <v>388</v>
      </c>
    </row>
    <row r="103" spans="1:4" x14ac:dyDescent="0.35">
      <c r="A103" s="10" t="s">
        <v>389</v>
      </c>
      <c r="B103" s="9" t="s">
        <v>390</v>
      </c>
      <c r="C103" s="9" t="s">
        <v>370</v>
      </c>
      <c r="D103" s="9" t="s">
        <v>391</v>
      </c>
    </row>
    <row r="104" spans="1:4" x14ac:dyDescent="0.35">
      <c r="A104" s="10" t="s">
        <v>392</v>
      </c>
      <c r="B104" s="9" t="s">
        <v>393</v>
      </c>
      <c r="C104" s="9" t="s">
        <v>394</v>
      </c>
      <c r="D104" s="9" t="s">
        <v>395</v>
      </c>
    </row>
    <row r="105" spans="1:4" x14ac:dyDescent="0.35">
      <c r="A105" s="10" t="s">
        <v>396</v>
      </c>
      <c r="B105" s="9" t="s">
        <v>397</v>
      </c>
      <c r="C105" s="9" t="s">
        <v>398</v>
      </c>
      <c r="D105" s="9" t="s">
        <v>399</v>
      </c>
    </row>
    <row r="106" spans="1:4" x14ac:dyDescent="0.35">
      <c r="A106" s="10" t="s">
        <v>400</v>
      </c>
      <c r="B106" s="9" t="s">
        <v>401</v>
      </c>
      <c r="C106" s="9" t="s">
        <v>402</v>
      </c>
      <c r="D106" s="9" t="s">
        <v>403</v>
      </c>
    </row>
    <row r="107" spans="1:4" ht="29" x14ac:dyDescent="0.35">
      <c r="A107" s="10" t="s">
        <v>404</v>
      </c>
      <c r="B107" s="9" t="s">
        <v>405</v>
      </c>
      <c r="C107" s="9" t="s">
        <v>406</v>
      </c>
      <c r="D107" s="9" t="s">
        <v>407</v>
      </c>
    </row>
    <row r="108" spans="1:4" x14ac:dyDescent="0.35">
      <c r="A108" s="10" t="s">
        <v>408</v>
      </c>
      <c r="B108" s="9" t="s">
        <v>409</v>
      </c>
      <c r="C108" s="9" t="s">
        <v>410</v>
      </c>
      <c r="D108" s="9" t="s">
        <v>411</v>
      </c>
    </row>
    <row r="109" spans="1:4" x14ac:dyDescent="0.35">
      <c r="A109" s="10" t="s">
        <v>412</v>
      </c>
      <c r="B109" s="9" t="s">
        <v>413</v>
      </c>
      <c r="C109" s="9" t="s">
        <v>394</v>
      </c>
      <c r="D109" s="9" t="s">
        <v>414</v>
      </c>
    </row>
    <row r="110" spans="1:4" x14ac:dyDescent="0.35">
      <c r="A110" s="10" t="s">
        <v>415</v>
      </c>
      <c r="B110" s="9" t="s">
        <v>416</v>
      </c>
      <c r="C110" s="9" t="s">
        <v>394</v>
      </c>
      <c r="D110" s="9" t="s">
        <v>417</v>
      </c>
    </row>
    <row r="111" spans="1:4" x14ac:dyDescent="0.35">
      <c r="A111" s="10" t="s">
        <v>418</v>
      </c>
      <c r="B111" s="9" t="s">
        <v>237</v>
      </c>
      <c r="C111" s="9" t="s">
        <v>136</v>
      </c>
      <c r="D111" s="9" t="s">
        <v>419</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67"/>
  <sheetViews>
    <sheetView zoomScale="68" zoomScaleNormal="100" workbookViewId="0">
      <pane xSplit="1" ySplit="1" topLeftCell="C19" activePane="bottomRight" state="frozen"/>
      <selection pane="topRight" activeCell="B1" sqref="B1"/>
      <selection pane="bottomLeft" activeCell="A2" sqref="A2"/>
      <selection pane="bottomRight" activeCell="I10" sqref="I10"/>
    </sheetView>
  </sheetViews>
  <sheetFormatPr defaultColWidth="8.6328125" defaultRowHeight="14.5" x14ac:dyDescent="0.35"/>
  <cols>
    <col min="1" max="1" width="13.453125" style="32" customWidth="1"/>
    <col min="2" max="2" width="31.453125" style="32" customWidth="1"/>
    <col min="3" max="3" width="49" style="32" customWidth="1"/>
    <col min="4" max="4" width="52" style="32" customWidth="1"/>
    <col min="5" max="5" width="42" style="37" customWidth="1"/>
    <col min="6" max="6" width="46" customWidth="1"/>
    <col min="7" max="7" width="12" customWidth="1"/>
    <col min="8" max="8" width="52" style="32" customWidth="1"/>
    <col min="9" max="9" width="64.36328125" style="32" customWidth="1"/>
    <col min="10" max="10" width="13" customWidth="1"/>
    <col min="11" max="12" width="12" customWidth="1"/>
    <col min="13" max="13" width="45" customWidth="1"/>
  </cols>
  <sheetData>
    <row r="1" spans="1:12" s="26" customFormat="1" ht="18.5" x14ac:dyDescent="0.45">
      <c r="A1" s="25" t="s">
        <v>420</v>
      </c>
      <c r="B1" s="25" t="s">
        <v>421</v>
      </c>
      <c r="C1" s="25" t="s">
        <v>422</v>
      </c>
      <c r="D1" s="25" t="s">
        <v>423</v>
      </c>
      <c r="E1" s="34" t="s">
        <v>424</v>
      </c>
      <c r="F1" s="25" t="s">
        <v>19</v>
      </c>
      <c r="G1" s="25" t="s">
        <v>425</v>
      </c>
      <c r="H1" s="25" t="s">
        <v>426</v>
      </c>
      <c r="I1" s="25" t="s">
        <v>427</v>
      </c>
      <c r="J1" s="25" t="s">
        <v>428</v>
      </c>
      <c r="K1" s="25" t="s">
        <v>429</v>
      </c>
      <c r="L1" s="25" t="s">
        <v>430</v>
      </c>
    </row>
    <row r="2" spans="1:12" ht="43.5" x14ac:dyDescent="0.35">
      <c r="A2" s="30" t="s">
        <v>52</v>
      </c>
      <c r="B2" s="30" t="s">
        <v>50</v>
      </c>
      <c r="C2" s="30" t="s">
        <v>431</v>
      </c>
      <c r="D2" s="30" t="s">
        <v>432</v>
      </c>
      <c r="E2" s="35" t="s">
        <v>433</v>
      </c>
      <c r="F2" s="9" t="s">
        <v>434</v>
      </c>
      <c r="G2" s="10" t="s">
        <v>435</v>
      </c>
      <c r="H2" s="30" t="s">
        <v>436</v>
      </c>
      <c r="I2" s="30" t="s">
        <v>437</v>
      </c>
      <c r="J2" s="10" t="s">
        <v>438</v>
      </c>
      <c r="K2" s="10" t="s">
        <v>439</v>
      </c>
      <c r="L2" s="10" t="s">
        <v>439</v>
      </c>
    </row>
    <row r="3" spans="1:12" ht="43.5" x14ac:dyDescent="0.35">
      <c r="A3" s="30" t="s">
        <v>440</v>
      </c>
      <c r="B3" s="30" t="s">
        <v>441</v>
      </c>
      <c r="C3" s="30" t="s">
        <v>442</v>
      </c>
      <c r="D3" s="30" t="s">
        <v>443</v>
      </c>
      <c r="E3" s="35" t="s">
        <v>444</v>
      </c>
      <c r="F3" s="9" t="s">
        <v>445</v>
      </c>
      <c r="G3" s="10" t="s">
        <v>435</v>
      </c>
      <c r="H3" s="30" t="s">
        <v>446</v>
      </c>
      <c r="I3" s="30" t="s">
        <v>447</v>
      </c>
      <c r="J3" s="10" t="s">
        <v>438</v>
      </c>
      <c r="K3" s="10" t="s">
        <v>439</v>
      </c>
      <c r="L3" s="10" t="s">
        <v>439</v>
      </c>
    </row>
    <row r="4" spans="1:12" ht="43.5" x14ac:dyDescent="0.35">
      <c r="A4" s="30" t="s">
        <v>448</v>
      </c>
      <c r="B4" s="30" t="s">
        <v>449</v>
      </c>
      <c r="C4" s="30" t="s">
        <v>450</v>
      </c>
      <c r="D4" s="30" t="s">
        <v>443</v>
      </c>
      <c r="E4" s="35" t="s">
        <v>451</v>
      </c>
      <c r="F4" s="9" t="s">
        <v>452</v>
      </c>
      <c r="G4" s="10" t="s">
        <v>435</v>
      </c>
      <c r="H4" s="30" t="s">
        <v>453</v>
      </c>
      <c r="I4" s="30" t="s">
        <v>454</v>
      </c>
      <c r="J4" s="10" t="s">
        <v>438</v>
      </c>
      <c r="K4" s="10" t="s">
        <v>439</v>
      </c>
      <c r="L4" s="10" t="s">
        <v>439</v>
      </c>
    </row>
    <row r="5" spans="1:12" ht="29" x14ac:dyDescent="0.35">
      <c r="A5" s="30" t="s">
        <v>455</v>
      </c>
      <c r="B5" s="30" t="s">
        <v>456</v>
      </c>
      <c r="C5" s="30" t="s">
        <v>457</v>
      </c>
      <c r="D5" s="30" t="s">
        <v>443</v>
      </c>
      <c r="E5" s="35" t="s">
        <v>458</v>
      </c>
      <c r="F5" s="9" t="s">
        <v>459</v>
      </c>
      <c r="G5" s="10" t="s">
        <v>435</v>
      </c>
      <c r="H5" s="30" t="s">
        <v>460</v>
      </c>
      <c r="I5" s="30" t="s">
        <v>461</v>
      </c>
      <c r="J5" s="10" t="s">
        <v>438</v>
      </c>
      <c r="K5" s="10" t="s">
        <v>439</v>
      </c>
      <c r="L5" s="10" t="s">
        <v>439</v>
      </c>
    </row>
    <row r="6" spans="1:12" ht="43.5" x14ac:dyDescent="0.35">
      <c r="A6" s="30" t="s">
        <v>462</v>
      </c>
      <c r="B6" s="30" t="s">
        <v>463</v>
      </c>
      <c r="C6" s="30" t="s">
        <v>464</v>
      </c>
      <c r="D6" s="30" t="s">
        <v>465</v>
      </c>
      <c r="E6" s="35" t="s">
        <v>466</v>
      </c>
      <c r="F6" s="9" t="s">
        <v>467</v>
      </c>
      <c r="G6" s="10" t="s">
        <v>435</v>
      </c>
      <c r="H6" s="30" t="s">
        <v>468</v>
      </c>
      <c r="I6" s="30" t="s">
        <v>469</v>
      </c>
      <c r="J6" s="10" t="s">
        <v>470</v>
      </c>
      <c r="K6" s="10" t="s">
        <v>439</v>
      </c>
      <c r="L6" s="10" t="s">
        <v>439</v>
      </c>
    </row>
    <row r="7" spans="1:12" ht="43.5" x14ac:dyDescent="0.35">
      <c r="A7" s="30" t="s">
        <v>471</v>
      </c>
      <c r="B7" s="30" t="s">
        <v>472</v>
      </c>
      <c r="C7" s="30" t="s">
        <v>473</v>
      </c>
      <c r="D7" s="30" t="s">
        <v>474</v>
      </c>
      <c r="E7" s="35" t="s">
        <v>475</v>
      </c>
      <c r="F7" s="9" t="s">
        <v>476</v>
      </c>
      <c r="G7" s="10" t="s">
        <v>435</v>
      </c>
      <c r="H7" s="30" t="s">
        <v>477</v>
      </c>
      <c r="I7" s="30" t="s">
        <v>469</v>
      </c>
      <c r="J7" s="10" t="s">
        <v>470</v>
      </c>
      <c r="K7" s="10" t="s">
        <v>439</v>
      </c>
      <c r="L7" s="10" t="s">
        <v>439</v>
      </c>
    </row>
    <row r="8" spans="1:12" ht="43.5" x14ac:dyDescent="0.35">
      <c r="A8" s="30" t="s">
        <v>478</v>
      </c>
      <c r="B8" s="30" t="s">
        <v>479</v>
      </c>
      <c r="C8" s="30" t="s">
        <v>480</v>
      </c>
      <c r="D8" s="30" t="s">
        <v>481</v>
      </c>
      <c r="E8" s="35" t="s">
        <v>482</v>
      </c>
      <c r="F8" s="9" t="s">
        <v>483</v>
      </c>
      <c r="G8" s="10" t="s">
        <v>484</v>
      </c>
      <c r="H8" s="30" t="s">
        <v>485</v>
      </c>
      <c r="I8" s="30" t="s">
        <v>486</v>
      </c>
      <c r="J8" s="10" t="s">
        <v>470</v>
      </c>
      <c r="K8" s="10" t="s">
        <v>439</v>
      </c>
      <c r="L8" s="10" t="s">
        <v>439</v>
      </c>
    </row>
    <row r="9" spans="1:12" ht="43.5" x14ac:dyDescent="0.35">
      <c r="A9" s="30" t="s">
        <v>487</v>
      </c>
      <c r="B9" s="30" t="s">
        <v>488</v>
      </c>
      <c r="C9" s="30" t="s">
        <v>489</v>
      </c>
      <c r="D9" s="30" t="s">
        <v>490</v>
      </c>
      <c r="E9" s="35" t="s">
        <v>491</v>
      </c>
      <c r="F9" s="9" t="s">
        <v>492</v>
      </c>
      <c r="G9" s="10" t="s">
        <v>484</v>
      </c>
      <c r="H9" s="30" t="s">
        <v>485</v>
      </c>
      <c r="I9" s="30" t="s">
        <v>493</v>
      </c>
      <c r="J9" s="10" t="s">
        <v>470</v>
      </c>
      <c r="K9" s="10" t="s">
        <v>439</v>
      </c>
      <c r="L9" s="10" t="s">
        <v>439</v>
      </c>
    </row>
    <row r="10" spans="1:12" ht="58" x14ac:dyDescent="0.35">
      <c r="A10" s="30" t="s">
        <v>70</v>
      </c>
      <c r="B10" s="30" t="s">
        <v>494</v>
      </c>
      <c r="C10" s="30" t="s">
        <v>495</v>
      </c>
      <c r="D10" s="30" t="s">
        <v>496</v>
      </c>
      <c r="E10" s="35" t="s">
        <v>497</v>
      </c>
      <c r="F10" s="9" t="s">
        <v>498</v>
      </c>
      <c r="G10" s="10" t="s">
        <v>435</v>
      </c>
      <c r="H10" s="30" t="s">
        <v>499</v>
      </c>
      <c r="I10" s="30" t="s">
        <v>500</v>
      </c>
      <c r="J10" s="10" t="s">
        <v>470</v>
      </c>
      <c r="K10" s="10" t="s">
        <v>439</v>
      </c>
      <c r="L10" s="10" t="s">
        <v>439</v>
      </c>
    </row>
    <row r="11" spans="1:12" ht="43.5" x14ac:dyDescent="0.35">
      <c r="A11" s="30" t="s">
        <v>74</v>
      </c>
      <c r="B11" s="30" t="s">
        <v>501</v>
      </c>
      <c r="C11" s="30" t="s">
        <v>502</v>
      </c>
      <c r="D11" s="30" t="s">
        <v>503</v>
      </c>
      <c r="E11" s="35" t="s">
        <v>504</v>
      </c>
      <c r="F11" s="9" t="s">
        <v>505</v>
      </c>
      <c r="G11" s="10" t="s">
        <v>435</v>
      </c>
      <c r="H11" s="30" t="s">
        <v>506</v>
      </c>
      <c r="I11" s="30" t="s">
        <v>507</v>
      </c>
      <c r="J11" s="10" t="s">
        <v>470</v>
      </c>
      <c r="K11" s="10" t="s">
        <v>439</v>
      </c>
      <c r="L11" s="10" t="s">
        <v>439</v>
      </c>
    </row>
    <row r="12" spans="1:12" ht="29" x14ac:dyDescent="0.35">
      <c r="A12" s="30" t="s">
        <v>77</v>
      </c>
      <c r="B12" s="30" t="s">
        <v>508</v>
      </c>
      <c r="C12" s="30" t="s">
        <v>509</v>
      </c>
      <c r="D12" s="30" t="s">
        <v>443</v>
      </c>
      <c r="E12" s="35" t="s">
        <v>510</v>
      </c>
      <c r="F12" s="9" t="s">
        <v>434</v>
      </c>
      <c r="G12" s="10" t="s">
        <v>484</v>
      </c>
      <c r="H12" s="30" t="s">
        <v>511</v>
      </c>
      <c r="I12" s="30" t="s">
        <v>512</v>
      </c>
      <c r="J12" s="10" t="s">
        <v>438</v>
      </c>
      <c r="K12" s="10" t="s">
        <v>439</v>
      </c>
      <c r="L12" s="10" t="s">
        <v>439</v>
      </c>
    </row>
    <row r="13" spans="1:12" x14ac:dyDescent="0.35">
      <c r="A13" s="30" t="s">
        <v>513</v>
      </c>
      <c r="B13" s="30" t="s">
        <v>514</v>
      </c>
      <c r="C13" s="30" t="s">
        <v>515</v>
      </c>
      <c r="D13" s="30" t="s">
        <v>443</v>
      </c>
      <c r="E13" s="35" t="s">
        <v>516</v>
      </c>
      <c r="F13" s="9" t="s">
        <v>517</v>
      </c>
      <c r="G13" s="10" t="s">
        <v>435</v>
      </c>
      <c r="H13" s="30" t="s">
        <v>518</v>
      </c>
      <c r="I13" s="30" t="s">
        <v>519</v>
      </c>
      <c r="J13" s="10" t="s">
        <v>438</v>
      </c>
      <c r="K13" s="10" t="s">
        <v>439</v>
      </c>
      <c r="L13" s="10" t="s">
        <v>439</v>
      </c>
    </row>
    <row r="14" spans="1:12" ht="87" x14ac:dyDescent="0.35">
      <c r="A14" s="30" t="s">
        <v>520</v>
      </c>
      <c r="B14" s="30" t="s">
        <v>521</v>
      </c>
      <c r="C14" s="30" t="s">
        <v>522</v>
      </c>
      <c r="D14" s="30" t="s">
        <v>443</v>
      </c>
      <c r="E14" s="35" t="s">
        <v>523</v>
      </c>
      <c r="F14" s="9" t="s">
        <v>524</v>
      </c>
      <c r="G14" s="10" t="s">
        <v>484</v>
      </c>
      <c r="H14" s="30" t="s">
        <v>525</v>
      </c>
      <c r="I14" s="30" t="s">
        <v>526</v>
      </c>
      <c r="J14" s="10" t="s">
        <v>470</v>
      </c>
      <c r="K14" s="10" t="s">
        <v>439</v>
      </c>
      <c r="L14" s="10" t="s">
        <v>439</v>
      </c>
    </row>
    <row r="15" spans="1:12" ht="43.5" x14ac:dyDescent="0.35">
      <c r="A15" s="30" t="s">
        <v>95</v>
      </c>
      <c r="B15" s="30" t="s">
        <v>527</v>
      </c>
      <c r="C15" s="30" t="s">
        <v>528</v>
      </c>
      <c r="D15" s="30" t="s">
        <v>443</v>
      </c>
      <c r="E15" s="35" t="s">
        <v>529</v>
      </c>
      <c r="F15" s="9" t="s">
        <v>530</v>
      </c>
      <c r="G15" s="10" t="s">
        <v>435</v>
      </c>
      <c r="H15" s="30" t="s">
        <v>531</v>
      </c>
      <c r="I15" s="30" t="s">
        <v>532</v>
      </c>
      <c r="J15" s="10" t="s">
        <v>470</v>
      </c>
      <c r="K15" s="10" t="s">
        <v>439</v>
      </c>
      <c r="L15" s="10" t="s">
        <v>439</v>
      </c>
    </row>
    <row r="16" spans="1:12" ht="43.5" x14ac:dyDescent="0.35">
      <c r="A16" s="30" t="s">
        <v>533</v>
      </c>
      <c r="B16" s="30" t="s">
        <v>534</v>
      </c>
      <c r="C16" s="30" t="s">
        <v>535</v>
      </c>
      <c r="D16" s="30" t="s">
        <v>481</v>
      </c>
      <c r="E16" s="35" t="s">
        <v>536</v>
      </c>
      <c r="F16" s="9" t="s">
        <v>537</v>
      </c>
      <c r="G16" s="10" t="s">
        <v>538</v>
      </c>
      <c r="H16" s="30" t="s">
        <v>539</v>
      </c>
      <c r="I16" s="30" t="s">
        <v>540</v>
      </c>
      <c r="J16" s="10" t="s">
        <v>438</v>
      </c>
      <c r="K16" s="10" t="s">
        <v>439</v>
      </c>
      <c r="L16" s="10" t="s">
        <v>439</v>
      </c>
    </row>
    <row r="17" spans="1:12" ht="29" x14ac:dyDescent="0.35">
      <c r="A17" s="30" t="s">
        <v>541</v>
      </c>
      <c r="B17" s="30" t="s">
        <v>542</v>
      </c>
      <c r="C17" s="30" t="s">
        <v>543</v>
      </c>
      <c r="D17" s="30" t="s">
        <v>544</v>
      </c>
      <c r="E17" s="35" t="s">
        <v>545</v>
      </c>
      <c r="F17" s="9" t="s">
        <v>546</v>
      </c>
      <c r="G17" s="10" t="s">
        <v>435</v>
      </c>
      <c r="H17" s="30" t="s">
        <v>547</v>
      </c>
      <c r="I17" s="30" t="s">
        <v>548</v>
      </c>
      <c r="J17" s="10" t="s">
        <v>438</v>
      </c>
      <c r="K17" s="10" t="s">
        <v>439</v>
      </c>
      <c r="L17" s="10" t="s">
        <v>439</v>
      </c>
    </row>
    <row r="18" spans="1:12" ht="29" x14ac:dyDescent="0.35">
      <c r="A18" s="30" t="s">
        <v>549</v>
      </c>
      <c r="B18" s="30" t="s">
        <v>550</v>
      </c>
      <c r="C18" s="30" t="s">
        <v>551</v>
      </c>
      <c r="D18" s="30" t="s">
        <v>552</v>
      </c>
      <c r="E18" s="35" t="s">
        <v>553</v>
      </c>
      <c r="F18" s="9" t="s">
        <v>554</v>
      </c>
      <c r="G18" s="10" t="s">
        <v>435</v>
      </c>
      <c r="H18" s="30" t="s">
        <v>555</v>
      </c>
      <c r="I18" s="30" t="s">
        <v>556</v>
      </c>
      <c r="J18" s="10" t="s">
        <v>470</v>
      </c>
      <c r="K18" s="10" t="s">
        <v>439</v>
      </c>
      <c r="L18" s="10" t="s">
        <v>439</v>
      </c>
    </row>
    <row r="19" spans="1:12" ht="29" x14ac:dyDescent="0.35">
      <c r="A19" s="30" t="s">
        <v>91</v>
      </c>
      <c r="B19" s="30" t="s">
        <v>557</v>
      </c>
      <c r="C19" s="30" t="s">
        <v>558</v>
      </c>
      <c r="D19" s="30" t="s">
        <v>559</v>
      </c>
      <c r="E19" s="35" t="s">
        <v>560</v>
      </c>
      <c r="F19" s="9" t="s">
        <v>561</v>
      </c>
      <c r="G19" s="10" t="s">
        <v>435</v>
      </c>
      <c r="H19" s="30" t="s">
        <v>562</v>
      </c>
      <c r="I19" s="30" t="s">
        <v>563</v>
      </c>
      <c r="J19" s="10" t="s">
        <v>470</v>
      </c>
      <c r="K19" s="10" t="s">
        <v>439</v>
      </c>
      <c r="L19" s="10" t="s">
        <v>439</v>
      </c>
    </row>
    <row r="20" spans="1:12" s="29" customFormat="1" ht="31.5" customHeight="1" x14ac:dyDescent="0.35">
      <c r="A20" s="31"/>
      <c r="B20" s="33" t="s">
        <v>2219</v>
      </c>
      <c r="C20" s="31"/>
      <c r="D20" s="31"/>
      <c r="E20" s="36"/>
      <c r="F20" s="28"/>
      <c r="G20" s="27"/>
      <c r="H20" s="31"/>
      <c r="I20" s="31"/>
      <c r="J20" s="27"/>
      <c r="K20" s="27"/>
      <c r="L20" s="27"/>
    </row>
    <row r="21" spans="1:12" ht="145" x14ac:dyDescent="0.35">
      <c r="A21" s="30" t="s">
        <v>564</v>
      </c>
      <c r="B21" s="30" t="s">
        <v>565</v>
      </c>
      <c r="C21" s="30" t="s">
        <v>566</v>
      </c>
      <c r="D21" s="30" t="s">
        <v>567</v>
      </c>
      <c r="E21" s="35" t="s">
        <v>568</v>
      </c>
      <c r="F21" s="9" t="s">
        <v>569</v>
      </c>
      <c r="G21" s="10" t="s">
        <v>435</v>
      </c>
      <c r="H21" s="30" t="s">
        <v>570</v>
      </c>
      <c r="I21" s="30" t="s">
        <v>571</v>
      </c>
      <c r="J21" s="10" t="s">
        <v>438</v>
      </c>
      <c r="K21" s="10" t="s">
        <v>439</v>
      </c>
      <c r="L21" s="10" t="s">
        <v>439</v>
      </c>
    </row>
    <row r="22" spans="1:12" ht="58" x14ac:dyDescent="0.35">
      <c r="A22" s="30" t="s">
        <v>572</v>
      </c>
      <c r="B22" s="30" t="s">
        <v>573</v>
      </c>
      <c r="C22" s="30" t="s">
        <v>574</v>
      </c>
      <c r="D22" s="30" t="s">
        <v>567</v>
      </c>
      <c r="E22" s="35" t="s">
        <v>575</v>
      </c>
      <c r="F22" s="9" t="s">
        <v>554</v>
      </c>
      <c r="G22" s="10" t="s">
        <v>484</v>
      </c>
      <c r="H22" s="30" t="s">
        <v>576</v>
      </c>
      <c r="I22" s="30" t="s">
        <v>576</v>
      </c>
      <c r="J22" s="10" t="s">
        <v>438</v>
      </c>
      <c r="K22" s="10" t="s">
        <v>439</v>
      </c>
      <c r="L22" s="10" t="s">
        <v>439</v>
      </c>
    </row>
    <row r="23" spans="1:12" ht="145" x14ac:dyDescent="0.35">
      <c r="A23" s="30" t="s">
        <v>577</v>
      </c>
      <c r="B23" s="30" t="s">
        <v>508</v>
      </c>
      <c r="C23" s="30" t="s">
        <v>578</v>
      </c>
      <c r="D23" s="30" t="s">
        <v>567</v>
      </c>
      <c r="E23" s="35" t="s">
        <v>579</v>
      </c>
      <c r="F23" s="9" t="s">
        <v>580</v>
      </c>
      <c r="G23" s="10" t="s">
        <v>484</v>
      </c>
      <c r="H23" s="30" t="s">
        <v>581</v>
      </c>
      <c r="I23" s="30" t="s">
        <v>581</v>
      </c>
      <c r="J23" s="10" t="s">
        <v>438</v>
      </c>
      <c r="K23" s="10" t="s">
        <v>439</v>
      </c>
      <c r="L23" s="10" t="s">
        <v>439</v>
      </c>
    </row>
    <row r="24" spans="1:12" ht="159.5" x14ac:dyDescent="0.35">
      <c r="A24" s="30" t="s">
        <v>582</v>
      </c>
      <c r="B24" s="30" t="s">
        <v>583</v>
      </c>
      <c r="C24" s="30" t="s">
        <v>584</v>
      </c>
      <c r="D24" s="30" t="s">
        <v>567</v>
      </c>
      <c r="E24" s="35" t="s">
        <v>585</v>
      </c>
      <c r="F24" s="9" t="s">
        <v>586</v>
      </c>
      <c r="G24" s="10" t="s">
        <v>435</v>
      </c>
      <c r="H24" s="30" t="s">
        <v>587</v>
      </c>
      <c r="I24" s="30" t="s">
        <v>588</v>
      </c>
      <c r="J24" s="10" t="s">
        <v>438</v>
      </c>
      <c r="K24" s="10" t="s">
        <v>439</v>
      </c>
      <c r="L24" s="10" t="s">
        <v>439</v>
      </c>
    </row>
    <row r="25" spans="1:12" ht="188.5" x14ac:dyDescent="0.35">
      <c r="A25" s="30" t="s">
        <v>589</v>
      </c>
      <c r="B25" s="30" t="s">
        <v>590</v>
      </c>
      <c r="C25" s="30" t="s">
        <v>591</v>
      </c>
      <c r="D25" s="30" t="s">
        <v>592</v>
      </c>
      <c r="E25" s="35" t="s">
        <v>593</v>
      </c>
      <c r="F25" s="9" t="s">
        <v>594</v>
      </c>
      <c r="G25" s="10" t="s">
        <v>435</v>
      </c>
      <c r="H25" s="30" t="s">
        <v>595</v>
      </c>
      <c r="I25" s="30" t="s">
        <v>595</v>
      </c>
      <c r="J25" s="10" t="s">
        <v>438</v>
      </c>
      <c r="K25" s="10" t="s">
        <v>439</v>
      </c>
      <c r="L25" s="10" t="s">
        <v>439</v>
      </c>
    </row>
    <row r="26" spans="1:12" ht="145" x14ac:dyDescent="0.35">
      <c r="A26" s="30" t="s">
        <v>596</v>
      </c>
      <c r="B26" s="30" t="s">
        <v>597</v>
      </c>
      <c r="C26" s="30" t="s">
        <v>598</v>
      </c>
      <c r="D26" s="30" t="s">
        <v>567</v>
      </c>
      <c r="E26" s="35" t="s">
        <v>599</v>
      </c>
      <c r="F26" s="9" t="s">
        <v>600</v>
      </c>
      <c r="G26" s="10" t="s">
        <v>435</v>
      </c>
      <c r="H26" s="30" t="s">
        <v>601</v>
      </c>
      <c r="I26" s="30" t="s">
        <v>601</v>
      </c>
      <c r="J26" s="10" t="s">
        <v>438</v>
      </c>
      <c r="K26" s="10" t="s">
        <v>439</v>
      </c>
      <c r="L26" s="10" t="s">
        <v>439</v>
      </c>
    </row>
    <row r="27" spans="1:12" ht="145" x14ac:dyDescent="0.35">
      <c r="A27" s="30" t="s">
        <v>602</v>
      </c>
      <c r="B27" s="30" t="s">
        <v>603</v>
      </c>
      <c r="C27" s="30" t="s">
        <v>604</v>
      </c>
      <c r="D27" s="30" t="s">
        <v>567</v>
      </c>
      <c r="E27" s="35" t="s">
        <v>568</v>
      </c>
      <c r="F27" s="9" t="s">
        <v>605</v>
      </c>
      <c r="G27" s="10" t="s">
        <v>435</v>
      </c>
      <c r="H27" s="30" t="s">
        <v>606</v>
      </c>
      <c r="I27" s="30" t="s">
        <v>606</v>
      </c>
      <c r="J27" s="10" t="s">
        <v>438</v>
      </c>
      <c r="K27" s="10" t="s">
        <v>439</v>
      </c>
      <c r="L27" s="10" t="s">
        <v>439</v>
      </c>
    </row>
    <row r="28" spans="1:12" ht="145" x14ac:dyDescent="0.35">
      <c r="A28" s="30" t="s">
        <v>607</v>
      </c>
      <c r="B28" s="30" t="s">
        <v>608</v>
      </c>
      <c r="C28" s="30" t="s">
        <v>609</v>
      </c>
      <c r="D28" s="30" t="s">
        <v>567</v>
      </c>
      <c r="E28" s="35" t="s">
        <v>568</v>
      </c>
      <c r="F28" s="9" t="s">
        <v>610</v>
      </c>
      <c r="G28" s="10" t="s">
        <v>435</v>
      </c>
      <c r="H28" s="30" t="s">
        <v>611</v>
      </c>
      <c r="I28" s="30" t="s">
        <v>611</v>
      </c>
      <c r="J28" s="10" t="s">
        <v>438</v>
      </c>
      <c r="K28" s="10" t="s">
        <v>439</v>
      </c>
      <c r="L28" s="10" t="s">
        <v>439</v>
      </c>
    </row>
    <row r="29" spans="1:12" ht="145" x14ac:dyDescent="0.35">
      <c r="A29" s="30" t="s">
        <v>612</v>
      </c>
      <c r="B29" s="30" t="s">
        <v>613</v>
      </c>
      <c r="C29" s="30" t="s">
        <v>614</v>
      </c>
      <c r="D29" s="30" t="s">
        <v>567</v>
      </c>
      <c r="E29" s="35" t="s">
        <v>568</v>
      </c>
      <c r="F29" s="9" t="s">
        <v>615</v>
      </c>
      <c r="G29" s="10" t="s">
        <v>484</v>
      </c>
      <c r="H29" s="30" t="s">
        <v>616</v>
      </c>
      <c r="I29" s="30" t="s">
        <v>616</v>
      </c>
      <c r="J29" s="10" t="s">
        <v>438</v>
      </c>
      <c r="K29" s="10" t="s">
        <v>439</v>
      </c>
      <c r="L29" s="10" t="s">
        <v>439</v>
      </c>
    </row>
    <row r="30" spans="1:12" ht="145" x14ac:dyDescent="0.35">
      <c r="A30" s="30" t="s">
        <v>617</v>
      </c>
      <c r="B30" s="30" t="s">
        <v>618</v>
      </c>
      <c r="C30" s="30" t="s">
        <v>619</v>
      </c>
      <c r="D30" s="30" t="s">
        <v>567</v>
      </c>
      <c r="E30" s="35" t="s">
        <v>568</v>
      </c>
      <c r="F30" s="9" t="s">
        <v>620</v>
      </c>
      <c r="G30" s="10" t="s">
        <v>484</v>
      </c>
      <c r="H30" s="30" t="s">
        <v>621</v>
      </c>
      <c r="I30" s="30" t="s">
        <v>621</v>
      </c>
      <c r="J30" s="10" t="s">
        <v>438</v>
      </c>
      <c r="K30" s="10" t="s">
        <v>439</v>
      </c>
      <c r="L30" s="10" t="s">
        <v>439</v>
      </c>
    </row>
    <row r="31" spans="1:12" ht="261" x14ac:dyDescent="0.35">
      <c r="A31" s="30" t="s">
        <v>622</v>
      </c>
      <c r="B31" s="30" t="s">
        <v>623</v>
      </c>
      <c r="C31" s="30" t="s">
        <v>624</v>
      </c>
      <c r="D31" s="30" t="s">
        <v>567</v>
      </c>
      <c r="E31" s="35" t="s">
        <v>625</v>
      </c>
      <c r="F31" s="9" t="s">
        <v>626</v>
      </c>
      <c r="G31" s="10" t="s">
        <v>484</v>
      </c>
      <c r="H31" s="30" t="s">
        <v>627</v>
      </c>
      <c r="I31" s="30" t="s">
        <v>628</v>
      </c>
      <c r="J31" s="10" t="s">
        <v>470</v>
      </c>
      <c r="K31" s="10" t="s">
        <v>439</v>
      </c>
      <c r="L31" s="10" t="s">
        <v>439</v>
      </c>
    </row>
    <row r="32" spans="1:12" ht="145" x14ac:dyDescent="0.35">
      <c r="A32" s="30" t="s">
        <v>629</v>
      </c>
      <c r="B32" s="30" t="s">
        <v>630</v>
      </c>
      <c r="C32" s="30" t="s">
        <v>631</v>
      </c>
      <c r="D32" s="30" t="s">
        <v>567</v>
      </c>
      <c r="E32" s="35" t="s">
        <v>632</v>
      </c>
      <c r="F32" s="9" t="s">
        <v>633</v>
      </c>
      <c r="G32" s="10" t="s">
        <v>435</v>
      </c>
      <c r="H32" s="30" t="s">
        <v>634</v>
      </c>
      <c r="I32" s="30" t="s">
        <v>635</v>
      </c>
      <c r="J32" s="10" t="s">
        <v>470</v>
      </c>
      <c r="K32" s="10" t="s">
        <v>439</v>
      </c>
      <c r="L32" s="10" t="s">
        <v>439</v>
      </c>
    </row>
    <row r="33" spans="1:12" ht="29" x14ac:dyDescent="0.35">
      <c r="A33" s="30" t="s">
        <v>636</v>
      </c>
      <c r="B33" s="30" t="s">
        <v>637</v>
      </c>
      <c r="C33" s="30" t="s">
        <v>638</v>
      </c>
      <c r="D33" s="30" t="s">
        <v>567</v>
      </c>
      <c r="E33" s="35" t="s">
        <v>639</v>
      </c>
      <c r="F33" s="9" t="s">
        <v>640</v>
      </c>
      <c r="G33" s="10" t="s">
        <v>538</v>
      </c>
      <c r="H33" s="30" t="s">
        <v>641</v>
      </c>
      <c r="I33" s="30" t="s">
        <v>641</v>
      </c>
      <c r="J33" s="10" t="s">
        <v>438</v>
      </c>
      <c r="K33" s="10" t="s">
        <v>439</v>
      </c>
      <c r="L33" s="10" t="s">
        <v>439</v>
      </c>
    </row>
    <row r="34" spans="1:12" ht="145" x14ac:dyDescent="0.35">
      <c r="A34" s="30" t="s">
        <v>642</v>
      </c>
      <c r="B34" s="30" t="s">
        <v>643</v>
      </c>
      <c r="C34" s="30" t="s">
        <v>644</v>
      </c>
      <c r="D34" s="30" t="s">
        <v>567</v>
      </c>
      <c r="E34" s="35" t="s">
        <v>645</v>
      </c>
      <c r="F34" s="9" t="s">
        <v>646</v>
      </c>
      <c r="G34" s="10" t="s">
        <v>435</v>
      </c>
      <c r="H34" s="30" t="s">
        <v>647</v>
      </c>
      <c r="I34" s="30" t="s">
        <v>647</v>
      </c>
      <c r="J34" s="10" t="s">
        <v>438</v>
      </c>
      <c r="K34" s="10" t="s">
        <v>439</v>
      </c>
      <c r="L34" s="10" t="s">
        <v>439</v>
      </c>
    </row>
    <row r="35" spans="1:12" ht="145" x14ac:dyDescent="0.35">
      <c r="A35" s="30" t="s">
        <v>648</v>
      </c>
      <c r="B35" s="30" t="s">
        <v>649</v>
      </c>
      <c r="C35" s="30" t="s">
        <v>650</v>
      </c>
      <c r="D35" s="30" t="s">
        <v>567</v>
      </c>
      <c r="E35" s="35" t="s">
        <v>568</v>
      </c>
      <c r="F35" s="9" t="s">
        <v>651</v>
      </c>
      <c r="G35" s="10" t="s">
        <v>435</v>
      </c>
      <c r="H35" s="30" t="s">
        <v>621</v>
      </c>
      <c r="I35" s="30" t="s">
        <v>652</v>
      </c>
      <c r="J35" s="10" t="s">
        <v>438</v>
      </c>
      <c r="K35" s="10" t="s">
        <v>439</v>
      </c>
      <c r="L35" s="10" t="s">
        <v>439</v>
      </c>
    </row>
    <row r="36" spans="1:12" ht="145" x14ac:dyDescent="0.35">
      <c r="A36" s="30" t="s">
        <v>653</v>
      </c>
      <c r="B36" s="30" t="s">
        <v>654</v>
      </c>
      <c r="C36" s="30" t="s">
        <v>655</v>
      </c>
      <c r="D36" s="30" t="s">
        <v>567</v>
      </c>
      <c r="E36" s="35" t="s">
        <v>568</v>
      </c>
      <c r="F36" s="9" t="s">
        <v>656</v>
      </c>
      <c r="G36" s="10" t="s">
        <v>435</v>
      </c>
      <c r="H36" s="30" t="s">
        <v>657</v>
      </c>
      <c r="I36" s="30" t="s">
        <v>658</v>
      </c>
      <c r="J36" s="10" t="s">
        <v>470</v>
      </c>
      <c r="K36" s="10" t="s">
        <v>439</v>
      </c>
      <c r="L36" s="10" t="s">
        <v>439</v>
      </c>
    </row>
    <row r="37" spans="1:12" ht="145" x14ac:dyDescent="0.35">
      <c r="A37" s="30" t="s">
        <v>659</v>
      </c>
      <c r="B37" s="30" t="s">
        <v>660</v>
      </c>
      <c r="C37" s="30" t="s">
        <v>661</v>
      </c>
      <c r="D37" s="30" t="s">
        <v>567</v>
      </c>
      <c r="E37" s="35" t="s">
        <v>568</v>
      </c>
      <c r="F37" s="9" t="s">
        <v>662</v>
      </c>
      <c r="G37" s="10" t="s">
        <v>435</v>
      </c>
      <c r="H37" s="30" t="s">
        <v>663</v>
      </c>
      <c r="I37" s="30" t="s">
        <v>664</v>
      </c>
      <c r="J37" s="10" t="s">
        <v>470</v>
      </c>
      <c r="K37" s="10" t="s">
        <v>439</v>
      </c>
      <c r="L37" s="10" t="s">
        <v>439</v>
      </c>
    </row>
    <row r="38" spans="1:12" ht="145" x14ac:dyDescent="0.35">
      <c r="A38" s="30" t="s">
        <v>665</v>
      </c>
      <c r="B38" s="30" t="s">
        <v>666</v>
      </c>
      <c r="C38" s="30" t="s">
        <v>667</v>
      </c>
      <c r="D38" s="30" t="s">
        <v>567</v>
      </c>
      <c r="E38" s="35" t="s">
        <v>568</v>
      </c>
      <c r="F38" s="9" t="s">
        <v>668</v>
      </c>
      <c r="G38" s="10" t="s">
        <v>484</v>
      </c>
      <c r="H38" s="30" t="s">
        <v>669</v>
      </c>
      <c r="I38" s="30" t="s">
        <v>670</v>
      </c>
      <c r="J38" s="10" t="s">
        <v>470</v>
      </c>
      <c r="K38" s="10" t="s">
        <v>439</v>
      </c>
      <c r="L38" s="10" t="s">
        <v>439</v>
      </c>
    </row>
    <row r="39" spans="1:12" ht="174" x14ac:dyDescent="0.35">
      <c r="A39" s="30" t="s">
        <v>671</v>
      </c>
      <c r="B39" s="30" t="s">
        <v>672</v>
      </c>
      <c r="C39" s="30" t="s">
        <v>673</v>
      </c>
      <c r="D39" s="30" t="s">
        <v>567</v>
      </c>
      <c r="E39" s="35" t="s">
        <v>674</v>
      </c>
      <c r="F39" s="9" t="s">
        <v>675</v>
      </c>
      <c r="G39" s="10" t="s">
        <v>484</v>
      </c>
      <c r="H39" s="30" t="s">
        <v>676</v>
      </c>
      <c r="I39" s="30" t="s">
        <v>677</v>
      </c>
      <c r="J39" s="10" t="s">
        <v>678</v>
      </c>
      <c r="K39" s="10" t="s">
        <v>439</v>
      </c>
      <c r="L39" s="10" t="s">
        <v>439</v>
      </c>
    </row>
    <row r="40" spans="1:12" ht="145" x14ac:dyDescent="0.35">
      <c r="A40" s="30" t="s">
        <v>679</v>
      </c>
      <c r="B40" s="30" t="s">
        <v>680</v>
      </c>
      <c r="C40" s="30" t="s">
        <v>681</v>
      </c>
      <c r="D40" s="30" t="s">
        <v>567</v>
      </c>
      <c r="E40" s="35" t="s">
        <v>682</v>
      </c>
      <c r="F40" s="9" t="s">
        <v>683</v>
      </c>
      <c r="G40" s="10" t="s">
        <v>435</v>
      </c>
      <c r="H40" s="30" t="s">
        <v>684</v>
      </c>
      <c r="I40" s="30" t="s">
        <v>684</v>
      </c>
      <c r="J40" s="10" t="s">
        <v>438</v>
      </c>
      <c r="K40" s="10" t="s">
        <v>439</v>
      </c>
      <c r="L40" s="10" t="s">
        <v>439</v>
      </c>
    </row>
    <row r="41" spans="1:12" ht="145" x14ac:dyDescent="0.35">
      <c r="A41" s="30" t="s">
        <v>685</v>
      </c>
      <c r="B41" s="30" t="s">
        <v>686</v>
      </c>
      <c r="C41" s="30" t="s">
        <v>687</v>
      </c>
      <c r="D41" s="30" t="s">
        <v>567</v>
      </c>
      <c r="E41" s="35" t="s">
        <v>568</v>
      </c>
      <c r="F41" s="9" t="s">
        <v>688</v>
      </c>
      <c r="G41" s="10" t="s">
        <v>484</v>
      </c>
      <c r="H41" s="30" t="s">
        <v>621</v>
      </c>
      <c r="I41" s="30" t="s">
        <v>689</v>
      </c>
      <c r="J41" s="10" t="s">
        <v>438</v>
      </c>
      <c r="K41" s="10" t="s">
        <v>439</v>
      </c>
      <c r="L41" s="10" t="s">
        <v>439</v>
      </c>
    </row>
    <row r="42" spans="1:12" ht="145" x14ac:dyDescent="0.35">
      <c r="A42" s="30" t="s">
        <v>690</v>
      </c>
      <c r="B42" s="30" t="s">
        <v>691</v>
      </c>
      <c r="C42" s="30" t="s">
        <v>692</v>
      </c>
      <c r="D42" s="30" t="s">
        <v>567</v>
      </c>
      <c r="E42" s="35" t="s">
        <v>568</v>
      </c>
      <c r="F42" s="9" t="s">
        <v>693</v>
      </c>
      <c r="G42" s="10" t="s">
        <v>484</v>
      </c>
      <c r="H42" s="30" t="s">
        <v>694</v>
      </c>
      <c r="I42" s="30" t="s">
        <v>694</v>
      </c>
      <c r="J42" s="10" t="s">
        <v>438</v>
      </c>
      <c r="K42" s="10" t="s">
        <v>439</v>
      </c>
      <c r="L42" s="10" t="s">
        <v>439</v>
      </c>
    </row>
    <row r="43" spans="1:12" ht="319" x14ac:dyDescent="0.35">
      <c r="A43" s="30" t="s">
        <v>695</v>
      </c>
      <c r="B43" s="30" t="s">
        <v>696</v>
      </c>
      <c r="C43" s="30" t="s">
        <v>697</v>
      </c>
      <c r="D43" s="30" t="s">
        <v>567</v>
      </c>
      <c r="E43" s="35" t="s">
        <v>625</v>
      </c>
      <c r="F43" s="9" t="s">
        <v>698</v>
      </c>
      <c r="G43" s="10" t="s">
        <v>538</v>
      </c>
      <c r="H43" s="30" t="s">
        <v>699</v>
      </c>
      <c r="I43" s="30" t="s">
        <v>700</v>
      </c>
      <c r="J43" s="10" t="s">
        <v>470</v>
      </c>
      <c r="K43" s="10" t="s">
        <v>439</v>
      </c>
      <c r="L43" s="10" t="s">
        <v>439</v>
      </c>
    </row>
    <row r="44" spans="1:12" ht="145" x14ac:dyDescent="0.35">
      <c r="A44" s="30" t="s">
        <v>701</v>
      </c>
      <c r="B44" s="30" t="s">
        <v>702</v>
      </c>
      <c r="C44" s="30" t="s">
        <v>703</v>
      </c>
      <c r="D44" s="30" t="s">
        <v>567</v>
      </c>
      <c r="E44" s="35" t="s">
        <v>704</v>
      </c>
      <c r="F44" s="9" t="s">
        <v>705</v>
      </c>
      <c r="G44" s="10" t="s">
        <v>435</v>
      </c>
      <c r="H44" s="30" t="s">
        <v>706</v>
      </c>
      <c r="I44" s="30" t="s">
        <v>706</v>
      </c>
      <c r="J44" s="10" t="s">
        <v>438</v>
      </c>
      <c r="K44" s="10" t="s">
        <v>439</v>
      </c>
      <c r="L44" s="10" t="s">
        <v>439</v>
      </c>
    </row>
    <row r="45" spans="1:12" ht="145" x14ac:dyDescent="0.35">
      <c r="A45" s="30" t="s">
        <v>707</v>
      </c>
      <c r="B45" s="30" t="s">
        <v>708</v>
      </c>
      <c r="C45" s="30" t="s">
        <v>604</v>
      </c>
      <c r="D45" s="30" t="s">
        <v>567</v>
      </c>
      <c r="E45" s="35" t="s">
        <v>568</v>
      </c>
      <c r="F45" s="9" t="s">
        <v>709</v>
      </c>
      <c r="G45" s="10" t="s">
        <v>435</v>
      </c>
      <c r="H45" s="30" t="s">
        <v>606</v>
      </c>
      <c r="I45" s="30" t="s">
        <v>606</v>
      </c>
      <c r="J45" s="10" t="s">
        <v>438</v>
      </c>
      <c r="K45" s="10" t="s">
        <v>439</v>
      </c>
      <c r="L45" s="10" t="s">
        <v>439</v>
      </c>
    </row>
    <row r="46" spans="1:12" ht="145" x14ac:dyDescent="0.35">
      <c r="A46" s="30" t="s">
        <v>710</v>
      </c>
      <c r="B46" s="30" t="s">
        <v>711</v>
      </c>
      <c r="C46" s="30" t="s">
        <v>712</v>
      </c>
      <c r="D46" s="30" t="s">
        <v>567</v>
      </c>
      <c r="E46" s="35" t="s">
        <v>568</v>
      </c>
      <c r="F46" s="9" t="s">
        <v>713</v>
      </c>
      <c r="G46" s="10" t="s">
        <v>484</v>
      </c>
      <c r="H46" s="30" t="s">
        <v>714</v>
      </c>
      <c r="I46" s="30" t="s">
        <v>715</v>
      </c>
      <c r="J46" s="10" t="s">
        <v>438</v>
      </c>
      <c r="K46" s="10" t="s">
        <v>439</v>
      </c>
      <c r="L46" s="10" t="s">
        <v>439</v>
      </c>
    </row>
    <row r="47" spans="1:12" ht="145" x14ac:dyDescent="0.35">
      <c r="A47" s="30" t="s">
        <v>716</v>
      </c>
      <c r="B47" s="30" t="s">
        <v>717</v>
      </c>
      <c r="C47" s="30" t="s">
        <v>718</v>
      </c>
      <c r="D47" s="30" t="s">
        <v>567</v>
      </c>
      <c r="E47" s="35" t="s">
        <v>719</v>
      </c>
      <c r="F47" s="9" t="s">
        <v>720</v>
      </c>
      <c r="G47" s="10" t="s">
        <v>435</v>
      </c>
      <c r="H47" s="30" t="s">
        <v>721</v>
      </c>
      <c r="I47" s="30" t="s">
        <v>721</v>
      </c>
      <c r="J47" s="10" t="s">
        <v>438</v>
      </c>
      <c r="K47" s="10" t="s">
        <v>439</v>
      </c>
      <c r="L47" s="10" t="s">
        <v>439</v>
      </c>
    </row>
    <row r="48" spans="1:12" ht="145" x14ac:dyDescent="0.35">
      <c r="A48" s="30" t="s">
        <v>722</v>
      </c>
      <c r="B48" s="30" t="s">
        <v>723</v>
      </c>
      <c r="C48" s="30" t="s">
        <v>604</v>
      </c>
      <c r="D48" s="30" t="s">
        <v>567</v>
      </c>
      <c r="E48" s="35" t="s">
        <v>568</v>
      </c>
      <c r="F48" s="9" t="s">
        <v>724</v>
      </c>
      <c r="G48" s="10" t="s">
        <v>435</v>
      </c>
      <c r="H48" s="30" t="s">
        <v>606</v>
      </c>
      <c r="I48" s="30" t="s">
        <v>606</v>
      </c>
      <c r="J48" s="10" t="s">
        <v>438</v>
      </c>
      <c r="K48" s="10" t="s">
        <v>439</v>
      </c>
      <c r="L48" s="10" t="s">
        <v>439</v>
      </c>
    </row>
    <row r="49" spans="1:12" ht="348" x14ac:dyDescent="0.35">
      <c r="A49" s="30" t="s">
        <v>725</v>
      </c>
      <c r="B49" s="30" t="s">
        <v>726</v>
      </c>
      <c r="C49" s="30" t="s">
        <v>624</v>
      </c>
      <c r="D49" s="30" t="s">
        <v>567</v>
      </c>
      <c r="E49" s="35" t="s">
        <v>625</v>
      </c>
      <c r="F49" s="9" t="s">
        <v>727</v>
      </c>
      <c r="G49" s="10" t="s">
        <v>538</v>
      </c>
      <c r="H49" s="30" t="s">
        <v>627</v>
      </c>
      <c r="I49" s="30" t="s">
        <v>728</v>
      </c>
      <c r="J49" s="10" t="s">
        <v>470</v>
      </c>
      <c r="K49" s="10" t="s">
        <v>439</v>
      </c>
      <c r="L49" s="10" t="s">
        <v>439</v>
      </c>
    </row>
    <row r="50" spans="1:12" ht="145" x14ac:dyDescent="0.35">
      <c r="A50" s="30" t="s">
        <v>729</v>
      </c>
      <c r="B50" s="30" t="s">
        <v>730</v>
      </c>
      <c r="C50" s="30" t="s">
        <v>731</v>
      </c>
      <c r="D50" s="30" t="s">
        <v>567</v>
      </c>
      <c r="E50" s="35" t="s">
        <v>732</v>
      </c>
      <c r="F50" s="9" t="s">
        <v>733</v>
      </c>
      <c r="G50" s="10" t="s">
        <v>435</v>
      </c>
      <c r="H50" s="30" t="s">
        <v>734</v>
      </c>
      <c r="I50" s="30" t="s">
        <v>734</v>
      </c>
      <c r="J50" s="10" t="s">
        <v>438</v>
      </c>
      <c r="K50" s="10" t="s">
        <v>439</v>
      </c>
      <c r="L50" s="10" t="s">
        <v>439</v>
      </c>
    </row>
    <row r="51" spans="1:12" ht="174" x14ac:dyDescent="0.35">
      <c r="A51" s="30" t="s">
        <v>735</v>
      </c>
      <c r="B51" s="30" t="s">
        <v>736</v>
      </c>
      <c r="C51" s="30" t="s">
        <v>737</v>
      </c>
      <c r="D51" s="30" t="s">
        <v>567</v>
      </c>
      <c r="E51" s="35" t="s">
        <v>674</v>
      </c>
      <c r="F51" s="9" t="s">
        <v>738</v>
      </c>
      <c r="G51" s="10" t="s">
        <v>435</v>
      </c>
      <c r="H51" s="30" t="s">
        <v>739</v>
      </c>
      <c r="I51" s="30" t="s">
        <v>739</v>
      </c>
      <c r="J51" s="10" t="s">
        <v>438</v>
      </c>
      <c r="K51" s="10" t="s">
        <v>439</v>
      </c>
      <c r="L51" s="10" t="s">
        <v>439</v>
      </c>
    </row>
    <row r="52" spans="1:12" ht="145" x14ac:dyDescent="0.35">
      <c r="A52" s="30" t="s">
        <v>740</v>
      </c>
      <c r="B52" s="30" t="s">
        <v>741</v>
      </c>
      <c r="C52" s="30" t="s">
        <v>742</v>
      </c>
      <c r="D52" s="30" t="s">
        <v>567</v>
      </c>
      <c r="E52" s="35" t="s">
        <v>568</v>
      </c>
      <c r="F52" s="9" t="s">
        <v>743</v>
      </c>
      <c r="G52" s="10" t="s">
        <v>435</v>
      </c>
      <c r="H52" s="30" t="s">
        <v>744</v>
      </c>
      <c r="I52" s="30" t="s">
        <v>744</v>
      </c>
      <c r="J52" s="10" t="s">
        <v>438</v>
      </c>
      <c r="K52" s="10" t="s">
        <v>439</v>
      </c>
      <c r="L52" s="10" t="s">
        <v>439</v>
      </c>
    </row>
    <row r="53" spans="1:12" ht="145" x14ac:dyDescent="0.35">
      <c r="A53" s="30" t="s">
        <v>745</v>
      </c>
      <c r="B53" s="30" t="s">
        <v>746</v>
      </c>
      <c r="C53" s="30" t="s">
        <v>747</v>
      </c>
      <c r="D53" s="30" t="s">
        <v>567</v>
      </c>
      <c r="E53" s="35" t="s">
        <v>568</v>
      </c>
      <c r="F53" s="9" t="s">
        <v>748</v>
      </c>
      <c r="G53" s="10" t="s">
        <v>484</v>
      </c>
      <c r="H53" s="30" t="s">
        <v>749</v>
      </c>
      <c r="I53" s="30" t="s">
        <v>750</v>
      </c>
      <c r="J53" s="10" t="s">
        <v>438</v>
      </c>
      <c r="K53" s="10" t="s">
        <v>439</v>
      </c>
      <c r="L53" s="10" t="s">
        <v>439</v>
      </c>
    </row>
    <row r="54" spans="1:12" ht="145" x14ac:dyDescent="0.35">
      <c r="A54" s="30" t="s">
        <v>751</v>
      </c>
      <c r="B54" s="30" t="s">
        <v>752</v>
      </c>
      <c r="C54" s="30" t="s">
        <v>753</v>
      </c>
      <c r="D54" s="30" t="s">
        <v>567</v>
      </c>
      <c r="E54" s="35" t="s">
        <v>754</v>
      </c>
      <c r="F54" s="9" t="s">
        <v>755</v>
      </c>
      <c r="G54" s="10" t="s">
        <v>435</v>
      </c>
      <c r="H54" s="30" t="s">
        <v>756</v>
      </c>
      <c r="I54" s="30" t="s">
        <v>756</v>
      </c>
      <c r="J54" s="10" t="s">
        <v>438</v>
      </c>
      <c r="K54" s="10" t="s">
        <v>439</v>
      </c>
      <c r="L54" s="10" t="s">
        <v>439</v>
      </c>
    </row>
    <row r="55" spans="1:12" ht="174" x14ac:dyDescent="0.35">
      <c r="A55" s="30" t="s">
        <v>757</v>
      </c>
      <c r="B55" s="30" t="s">
        <v>758</v>
      </c>
      <c r="C55" s="30" t="s">
        <v>737</v>
      </c>
      <c r="D55" s="30" t="s">
        <v>567</v>
      </c>
      <c r="E55" s="35" t="s">
        <v>674</v>
      </c>
      <c r="F55" s="9" t="s">
        <v>759</v>
      </c>
      <c r="G55" s="10" t="s">
        <v>435</v>
      </c>
      <c r="H55" s="30" t="s">
        <v>760</v>
      </c>
      <c r="I55" s="30" t="s">
        <v>760</v>
      </c>
      <c r="J55" s="10" t="s">
        <v>438</v>
      </c>
      <c r="K55" s="10" t="s">
        <v>439</v>
      </c>
      <c r="L55" s="10" t="s">
        <v>439</v>
      </c>
    </row>
    <row r="56" spans="1:12" ht="145" x14ac:dyDescent="0.35">
      <c r="A56" s="30" t="s">
        <v>761</v>
      </c>
      <c r="B56" s="30" t="s">
        <v>762</v>
      </c>
      <c r="C56" s="30" t="s">
        <v>763</v>
      </c>
      <c r="D56" s="30" t="s">
        <v>567</v>
      </c>
      <c r="E56" s="35" t="s">
        <v>568</v>
      </c>
      <c r="F56" s="9" t="s">
        <v>764</v>
      </c>
      <c r="G56" s="10" t="s">
        <v>435</v>
      </c>
      <c r="H56" s="30" t="s">
        <v>765</v>
      </c>
      <c r="I56" s="30" t="s">
        <v>766</v>
      </c>
      <c r="J56" s="10" t="s">
        <v>470</v>
      </c>
      <c r="K56" s="10" t="s">
        <v>439</v>
      </c>
      <c r="L56" s="10" t="s">
        <v>439</v>
      </c>
    </row>
    <row r="57" spans="1:12" ht="145" x14ac:dyDescent="0.35">
      <c r="A57" s="30" t="s">
        <v>767</v>
      </c>
      <c r="B57" s="30" t="s">
        <v>768</v>
      </c>
      <c r="C57" s="30" t="s">
        <v>769</v>
      </c>
      <c r="D57" s="30" t="s">
        <v>567</v>
      </c>
      <c r="E57" s="35" t="s">
        <v>568</v>
      </c>
      <c r="F57" s="9" t="s">
        <v>770</v>
      </c>
      <c r="G57" s="10" t="s">
        <v>484</v>
      </c>
      <c r="H57" s="30" t="s">
        <v>771</v>
      </c>
      <c r="I57" s="30" t="s">
        <v>772</v>
      </c>
      <c r="J57" s="10" t="s">
        <v>470</v>
      </c>
      <c r="K57" s="10" t="s">
        <v>439</v>
      </c>
      <c r="L57" s="10" t="s">
        <v>439</v>
      </c>
    </row>
    <row r="58" spans="1:12" ht="145" x14ac:dyDescent="0.35">
      <c r="A58" s="30" t="s">
        <v>773</v>
      </c>
      <c r="B58" s="30" t="s">
        <v>774</v>
      </c>
      <c r="C58" s="30" t="s">
        <v>775</v>
      </c>
      <c r="D58" s="30" t="s">
        <v>567</v>
      </c>
      <c r="E58" s="35" t="s">
        <v>776</v>
      </c>
      <c r="F58" s="9" t="s">
        <v>777</v>
      </c>
      <c r="G58" s="10" t="s">
        <v>435</v>
      </c>
      <c r="H58" s="30" t="s">
        <v>778</v>
      </c>
      <c r="I58" s="30" t="s">
        <v>778</v>
      </c>
      <c r="J58" s="10" t="s">
        <v>438</v>
      </c>
      <c r="K58" s="10" t="s">
        <v>439</v>
      </c>
      <c r="L58" s="10" t="s">
        <v>439</v>
      </c>
    </row>
    <row r="59" spans="1:12" ht="217.5" x14ac:dyDescent="0.35">
      <c r="A59" s="30" t="s">
        <v>779</v>
      </c>
      <c r="B59" s="30" t="s">
        <v>780</v>
      </c>
      <c r="C59" s="30" t="s">
        <v>781</v>
      </c>
      <c r="D59" s="30" t="s">
        <v>567</v>
      </c>
      <c r="E59" s="35" t="s">
        <v>674</v>
      </c>
      <c r="F59" s="9" t="s">
        <v>782</v>
      </c>
      <c r="G59" s="10" t="s">
        <v>435</v>
      </c>
      <c r="H59" s="30" t="s">
        <v>783</v>
      </c>
      <c r="I59" s="30" t="s">
        <v>783</v>
      </c>
      <c r="J59" s="10" t="s">
        <v>438</v>
      </c>
      <c r="K59" s="10" t="s">
        <v>439</v>
      </c>
      <c r="L59" s="10" t="s">
        <v>439</v>
      </c>
    </row>
    <row r="60" spans="1:12" ht="145" x14ac:dyDescent="0.35">
      <c r="A60" s="30" t="s">
        <v>784</v>
      </c>
      <c r="B60" s="30" t="s">
        <v>785</v>
      </c>
      <c r="C60" s="30" t="s">
        <v>786</v>
      </c>
      <c r="D60" s="30" t="s">
        <v>787</v>
      </c>
      <c r="E60" s="35" t="s">
        <v>788</v>
      </c>
      <c r="F60" s="9" t="s">
        <v>789</v>
      </c>
      <c r="G60" s="10" t="s">
        <v>435</v>
      </c>
      <c r="H60" s="30" t="s">
        <v>790</v>
      </c>
      <c r="I60" s="30" t="s">
        <v>790</v>
      </c>
      <c r="J60" s="10" t="s">
        <v>438</v>
      </c>
      <c r="K60" s="10" t="s">
        <v>439</v>
      </c>
      <c r="L60" s="10" t="s">
        <v>439</v>
      </c>
    </row>
    <row r="61" spans="1:12" ht="145" x14ac:dyDescent="0.35">
      <c r="A61" s="30" t="s">
        <v>791</v>
      </c>
      <c r="B61" s="30" t="s">
        <v>792</v>
      </c>
      <c r="C61" s="30" t="s">
        <v>793</v>
      </c>
      <c r="D61" s="30" t="s">
        <v>787</v>
      </c>
      <c r="E61" s="35" t="s">
        <v>794</v>
      </c>
      <c r="F61" s="9" t="s">
        <v>795</v>
      </c>
      <c r="G61" s="10" t="s">
        <v>484</v>
      </c>
      <c r="H61" s="30" t="s">
        <v>796</v>
      </c>
      <c r="I61" s="30" t="s">
        <v>790</v>
      </c>
      <c r="J61" s="10" t="s">
        <v>438</v>
      </c>
      <c r="K61" s="10" t="s">
        <v>439</v>
      </c>
      <c r="L61" s="10" t="s">
        <v>439</v>
      </c>
    </row>
    <row r="62" spans="1:12" ht="232" x14ac:dyDescent="0.35">
      <c r="A62" s="30" t="s">
        <v>797</v>
      </c>
      <c r="B62" s="30" t="s">
        <v>798</v>
      </c>
      <c r="C62" s="30" t="s">
        <v>624</v>
      </c>
      <c r="D62" s="30" t="s">
        <v>567</v>
      </c>
      <c r="E62" s="35" t="s">
        <v>625</v>
      </c>
      <c r="F62" s="9" t="s">
        <v>799</v>
      </c>
      <c r="G62" s="10" t="s">
        <v>538</v>
      </c>
      <c r="H62" s="30" t="s">
        <v>627</v>
      </c>
      <c r="I62" s="30" t="s">
        <v>800</v>
      </c>
      <c r="J62" s="10" t="s">
        <v>470</v>
      </c>
      <c r="K62" s="10" t="s">
        <v>439</v>
      </c>
      <c r="L62" s="10" t="s">
        <v>439</v>
      </c>
    </row>
    <row r="63" spans="1:12" ht="145" x14ac:dyDescent="0.35">
      <c r="A63" s="30" t="s">
        <v>801</v>
      </c>
      <c r="B63" s="30" t="s">
        <v>802</v>
      </c>
      <c r="C63" s="30" t="s">
        <v>803</v>
      </c>
      <c r="D63" s="30" t="s">
        <v>567</v>
      </c>
      <c r="E63" s="35" t="s">
        <v>804</v>
      </c>
      <c r="F63" s="9" t="s">
        <v>805</v>
      </c>
      <c r="G63" s="10" t="s">
        <v>435</v>
      </c>
      <c r="H63" s="30" t="s">
        <v>806</v>
      </c>
      <c r="I63" s="30" t="s">
        <v>806</v>
      </c>
      <c r="J63" s="10" t="s">
        <v>438</v>
      </c>
      <c r="K63" s="10" t="s">
        <v>439</v>
      </c>
      <c r="L63" s="10" t="s">
        <v>439</v>
      </c>
    </row>
    <row r="64" spans="1:12" ht="145" x14ac:dyDescent="0.35">
      <c r="A64" s="30" t="s">
        <v>807</v>
      </c>
      <c r="B64" s="30" t="s">
        <v>808</v>
      </c>
      <c r="C64" s="30" t="s">
        <v>809</v>
      </c>
      <c r="D64" s="30" t="s">
        <v>567</v>
      </c>
      <c r="E64" s="35" t="s">
        <v>568</v>
      </c>
      <c r="F64" s="9" t="s">
        <v>810</v>
      </c>
      <c r="G64" s="10" t="s">
        <v>435</v>
      </c>
      <c r="H64" s="30" t="s">
        <v>811</v>
      </c>
      <c r="I64" s="30" t="s">
        <v>812</v>
      </c>
      <c r="J64" s="10" t="s">
        <v>470</v>
      </c>
      <c r="K64" s="10" t="s">
        <v>439</v>
      </c>
      <c r="L64" s="10" t="s">
        <v>439</v>
      </c>
    </row>
    <row r="65" spans="1:12" ht="145" x14ac:dyDescent="0.35">
      <c r="A65" s="30" t="s">
        <v>813</v>
      </c>
      <c r="B65" s="30" t="s">
        <v>814</v>
      </c>
      <c r="C65" s="30" t="s">
        <v>815</v>
      </c>
      <c r="D65" s="30" t="s">
        <v>567</v>
      </c>
      <c r="E65" s="35" t="s">
        <v>568</v>
      </c>
      <c r="F65" s="9" t="s">
        <v>816</v>
      </c>
      <c r="G65" s="10" t="s">
        <v>435</v>
      </c>
      <c r="H65" s="30" t="s">
        <v>621</v>
      </c>
      <c r="I65" s="30" t="s">
        <v>621</v>
      </c>
      <c r="J65" s="10" t="s">
        <v>438</v>
      </c>
      <c r="K65" s="10" t="s">
        <v>439</v>
      </c>
      <c r="L65" s="10" t="s">
        <v>439</v>
      </c>
    </row>
    <row r="66" spans="1:12" ht="232" x14ac:dyDescent="0.35">
      <c r="A66" s="30" t="s">
        <v>817</v>
      </c>
      <c r="B66" s="30" t="s">
        <v>818</v>
      </c>
      <c r="C66" s="30" t="s">
        <v>819</v>
      </c>
      <c r="D66" s="30" t="s">
        <v>567</v>
      </c>
      <c r="E66" s="35" t="s">
        <v>625</v>
      </c>
      <c r="F66" s="9" t="s">
        <v>820</v>
      </c>
      <c r="G66" s="10" t="s">
        <v>538</v>
      </c>
      <c r="H66" s="30" t="s">
        <v>821</v>
      </c>
      <c r="I66" s="30" t="s">
        <v>822</v>
      </c>
      <c r="J66" s="10" t="s">
        <v>470</v>
      </c>
      <c r="K66" s="10" t="s">
        <v>439</v>
      </c>
      <c r="L66" s="10" t="s">
        <v>439</v>
      </c>
    </row>
    <row r="67" spans="1:12" ht="29" x14ac:dyDescent="0.35">
      <c r="A67" s="30" t="s">
        <v>823</v>
      </c>
      <c r="B67" s="30" t="s">
        <v>824</v>
      </c>
      <c r="C67" s="30" t="s">
        <v>825</v>
      </c>
      <c r="D67" s="30" t="s">
        <v>567</v>
      </c>
      <c r="E67" s="35" t="s">
        <v>826</v>
      </c>
      <c r="F67" s="9" t="s">
        <v>827</v>
      </c>
      <c r="G67" s="10" t="s">
        <v>435</v>
      </c>
      <c r="H67" s="30" t="s">
        <v>828</v>
      </c>
      <c r="I67" s="30" t="s">
        <v>828</v>
      </c>
      <c r="J67" s="10" t="s">
        <v>438</v>
      </c>
      <c r="K67" s="10" t="s">
        <v>439</v>
      </c>
      <c r="L67" s="10" t="s">
        <v>439</v>
      </c>
    </row>
    <row r="68" spans="1:12" ht="145" x14ac:dyDescent="0.35">
      <c r="A68" s="30" t="s">
        <v>829</v>
      </c>
      <c r="B68" s="30" t="s">
        <v>830</v>
      </c>
      <c r="C68" s="30" t="s">
        <v>831</v>
      </c>
      <c r="D68" s="30" t="s">
        <v>567</v>
      </c>
      <c r="E68" s="35" t="s">
        <v>832</v>
      </c>
      <c r="F68" s="9" t="s">
        <v>833</v>
      </c>
      <c r="G68" s="10" t="s">
        <v>435</v>
      </c>
      <c r="H68" s="30" t="s">
        <v>834</v>
      </c>
      <c r="I68" s="30" t="s">
        <v>834</v>
      </c>
      <c r="J68" s="10" t="s">
        <v>438</v>
      </c>
      <c r="K68" s="10" t="s">
        <v>439</v>
      </c>
      <c r="L68" s="10" t="s">
        <v>439</v>
      </c>
    </row>
    <row r="69" spans="1:12" ht="145" x14ac:dyDescent="0.35">
      <c r="A69" s="30" t="s">
        <v>835</v>
      </c>
      <c r="B69" s="30" t="s">
        <v>836</v>
      </c>
      <c r="C69" s="30" t="s">
        <v>837</v>
      </c>
      <c r="D69" s="30" t="s">
        <v>567</v>
      </c>
      <c r="E69" s="35" t="s">
        <v>568</v>
      </c>
      <c r="F69" s="9" t="s">
        <v>838</v>
      </c>
      <c r="G69" s="10" t="s">
        <v>484</v>
      </c>
      <c r="H69" s="30" t="s">
        <v>839</v>
      </c>
      <c r="I69" s="30" t="s">
        <v>839</v>
      </c>
      <c r="J69" s="10" t="s">
        <v>438</v>
      </c>
      <c r="K69" s="10" t="s">
        <v>439</v>
      </c>
      <c r="L69" s="10" t="s">
        <v>439</v>
      </c>
    </row>
    <row r="70" spans="1:12" ht="145" x14ac:dyDescent="0.35">
      <c r="A70" s="30" t="s">
        <v>840</v>
      </c>
      <c r="B70" s="30" t="s">
        <v>841</v>
      </c>
      <c r="C70" s="30" t="s">
        <v>842</v>
      </c>
      <c r="D70" s="30" t="s">
        <v>567</v>
      </c>
      <c r="E70" s="35" t="s">
        <v>568</v>
      </c>
      <c r="F70" s="9" t="s">
        <v>843</v>
      </c>
      <c r="G70" s="10" t="s">
        <v>435</v>
      </c>
      <c r="H70" s="30" t="s">
        <v>844</v>
      </c>
      <c r="I70" s="30" t="s">
        <v>844</v>
      </c>
      <c r="J70" s="10" t="s">
        <v>438</v>
      </c>
      <c r="K70" s="10" t="s">
        <v>439</v>
      </c>
      <c r="L70" s="10" t="s">
        <v>439</v>
      </c>
    </row>
    <row r="71" spans="1:12" ht="145" x14ac:dyDescent="0.35">
      <c r="A71" s="30" t="s">
        <v>845</v>
      </c>
      <c r="B71" s="30" t="s">
        <v>846</v>
      </c>
      <c r="C71" s="30" t="s">
        <v>847</v>
      </c>
      <c r="D71" s="30" t="s">
        <v>567</v>
      </c>
      <c r="E71" s="35" t="s">
        <v>568</v>
      </c>
      <c r="F71" s="9" t="s">
        <v>848</v>
      </c>
      <c r="G71" s="10" t="s">
        <v>484</v>
      </c>
      <c r="H71" s="30" t="s">
        <v>849</v>
      </c>
      <c r="I71" s="30" t="s">
        <v>849</v>
      </c>
      <c r="J71" s="10" t="s">
        <v>438</v>
      </c>
      <c r="K71" s="10" t="s">
        <v>439</v>
      </c>
      <c r="L71" s="10" t="s">
        <v>439</v>
      </c>
    </row>
    <row r="72" spans="1:12" ht="145" x14ac:dyDescent="0.35">
      <c r="A72" s="30" t="s">
        <v>850</v>
      </c>
      <c r="B72" s="30" t="s">
        <v>851</v>
      </c>
      <c r="C72" s="30" t="s">
        <v>852</v>
      </c>
      <c r="D72" s="30" t="s">
        <v>567</v>
      </c>
      <c r="E72" s="35" t="s">
        <v>853</v>
      </c>
      <c r="F72" s="9" t="s">
        <v>854</v>
      </c>
      <c r="G72" s="10" t="s">
        <v>484</v>
      </c>
      <c r="H72" s="30" t="s">
        <v>855</v>
      </c>
      <c r="I72" s="30" t="s">
        <v>855</v>
      </c>
      <c r="J72" s="10" t="s">
        <v>438</v>
      </c>
      <c r="K72" s="10" t="s">
        <v>439</v>
      </c>
      <c r="L72" s="10" t="s">
        <v>439</v>
      </c>
    </row>
    <row r="73" spans="1:12" s="29" customFormat="1" ht="26" x14ac:dyDescent="0.35">
      <c r="A73" s="31"/>
      <c r="B73" s="33" t="s">
        <v>3105</v>
      </c>
      <c r="C73" s="31"/>
      <c r="D73" s="31"/>
      <c r="E73" s="36"/>
      <c r="F73" s="28"/>
      <c r="G73" s="27"/>
      <c r="H73" s="31"/>
      <c r="I73" s="31"/>
      <c r="J73" s="27"/>
      <c r="K73" s="27"/>
      <c r="L73" s="27"/>
    </row>
    <row r="74" spans="1:12" ht="174" x14ac:dyDescent="0.35">
      <c r="A74" s="30" t="s">
        <v>141</v>
      </c>
      <c r="B74" s="30" t="s">
        <v>856</v>
      </c>
      <c r="C74" s="30" t="s">
        <v>857</v>
      </c>
      <c r="D74" s="30" t="s">
        <v>858</v>
      </c>
      <c r="E74" s="35" t="s">
        <v>859</v>
      </c>
      <c r="F74" s="9" t="s">
        <v>860</v>
      </c>
      <c r="G74" s="10" t="s">
        <v>435</v>
      </c>
      <c r="H74" s="30" t="s">
        <v>861</v>
      </c>
      <c r="I74" s="30" t="s">
        <v>861</v>
      </c>
      <c r="J74" s="10" t="s">
        <v>438</v>
      </c>
      <c r="K74" s="10" t="s">
        <v>439</v>
      </c>
      <c r="L74" s="10" t="s">
        <v>439</v>
      </c>
    </row>
    <row r="75" spans="1:12" ht="58" x14ac:dyDescent="0.35">
      <c r="A75" s="30" t="s">
        <v>862</v>
      </c>
      <c r="B75" s="30" t="s">
        <v>863</v>
      </c>
      <c r="C75" s="30" t="s">
        <v>864</v>
      </c>
      <c r="D75" s="30" t="s">
        <v>865</v>
      </c>
      <c r="E75" s="35" t="s">
        <v>866</v>
      </c>
      <c r="F75" s="9" t="s">
        <v>867</v>
      </c>
      <c r="G75" s="10" t="s">
        <v>435</v>
      </c>
      <c r="H75" s="30" t="s">
        <v>868</v>
      </c>
      <c r="I75" s="30" t="s">
        <v>868</v>
      </c>
      <c r="J75" s="10" t="s">
        <v>438</v>
      </c>
      <c r="K75" s="10" t="s">
        <v>439</v>
      </c>
      <c r="L75" s="10" t="s">
        <v>439</v>
      </c>
    </row>
    <row r="76" spans="1:12" ht="58" x14ac:dyDescent="0.35">
      <c r="A76" s="30" t="s">
        <v>869</v>
      </c>
      <c r="B76" s="30" t="s">
        <v>870</v>
      </c>
      <c r="C76" s="30" t="s">
        <v>871</v>
      </c>
      <c r="D76" s="30" t="s">
        <v>865</v>
      </c>
      <c r="E76" s="35" t="s">
        <v>872</v>
      </c>
      <c r="F76" s="9" t="s">
        <v>867</v>
      </c>
      <c r="G76" s="10" t="s">
        <v>435</v>
      </c>
      <c r="H76" s="30" t="s">
        <v>873</v>
      </c>
      <c r="I76" s="30" t="s">
        <v>873</v>
      </c>
      <c r="J76" s="10" t="s">
        <v>438</v>
      </c>
      <c r="K76" s="10" t="s">
        <v>439</v>
      </c>
      <c r="L76" s="10" t="s">
        <v>439</v>
      </c>
    </row>
    <row r="77" spans="1:12" ht="29" x14ac:dyDescent="0.35">
      <c r="A77" s="30" t="s">
        <v>874</v>
      </c>
      <c r="B77" s="30" t="s">
        <v>875</v>
      </c>
      <c r="C77" s="30" t="s">
        <v>876</v>
      </c>
      <c r="D77" s="30" t="s">
        <v>877</v>
      </c>
      <c r="E77" s="35" t="s">
        <v>878</v>
      </c>
      <c r="F77" s="9" t="s">
        <v>879</v>
      </c>
      <c r="G77" s="10" t="s">
        <v>435</v>
      </c>
      <c r="H77" s="30" t="s">
        <v>880</v>
      </c>
      <c r="I77" s="30" t="s">
        <v>880</v>
      </c>
      <c r="J77" s="10" t="s">
        <v>438</v>
      </c>
      <c r="K77" s="10" t="s">
        <v>439</v>
      </c>
      <c r="L77" s="10" t="s">
        <v>439</v>
      </c>
    </row>
    <row r="78" spans="1:12" ht="43.5" x14ac:dyDescent="0.35">
      <c r="A78" s="30" t="s">
        <v>881</v>
      </c>
      <c r="B78" s="30" t="s">
        <v>882</v>
      </c>
      <c r="C78" s="30" t="s">
        <v>737</v>
      </c>
      <c r="D78" s="30" t="s">
        <v>877</v>
      </c>
      <c r="E78" s="35" t="s">
        <v>883</v>
      </c>
      <c r="F78" s="9" t="s">
        <v>884</v>
      </c>
      <c r="G78" s="10" t="s">
        <v>435</v>
      </c>
      <c r="H78" s="30" t="s">
        <v>885</v>
      </c>
      <c r="I78" s="30" t="s">
        <v>885</v>
      </c>
      <c r="J78" s="10" t="s">
        <v>438</v>
      </c>
      <c r="K78" s="10" t="s">
        <v>439</v>
      </c>
      <c r="L78" s="10" t="s">
        <v>439</v>
      </c>
    </row>
    <row r="79" spans="1:12" ht="58" x14ac:dyDescent="0.35">
      <c r="A79" s="30" t="s">
        <v>886</v>
      </c>
      <c r="B79" s="30" t="s">
        <v>887</v>
      </c>
      <c r="C79" s="30" t="s">
        <v>888</v>
      </c>
      <c r="D79" s="30" t="s">
        <v>877</v>
      </c>
      <c r="E79" s="35" t="s">
        <v>889</v>
      </c>
      <c r="F79" s="9" t="s">
        <v>890</v>
      </c>
      <c r="G79" s="10" t="s">
        <v>538</v>
      </c>
      <c r="H79" s="30" t="s">
        <v>891</v>
      </c>
      <c r="I79" s="30" t="s">
        <v>891</v>
      </c>
      <c r="J79" s="10" t="s">
        <v>438</v>
      </c>
      <c r="K79" s="10" t="s">
        <v>439</v>
      </c>
      <c r="L79" s="10" t="s">
        <v>439</v>
      </c>
    </row>
    <row r="80" spans="1:12" ht="29" x14ac:dyDescent="0.35">
      <c r="A80" s="30" t="s">
        <v>892</v>
      </c>
      <c r="B80" s="30" t="s">
        <v>893</v>
      </c>
      <c r="C80" s="30" t="s">
        <v>894</v>
      </c>
      <c r="D80" s="30" t="s">
        <v>877</v>
      </c>
      <c r="E80" s="35" t="s">
        <v>895</v>
      </c>
      <c r="F80" s="9" t="s">
        <v>896</v>
      </c>
      <c r="G80" s="10" t="s">
        <v>435</v>
      </c>
      <c r="H80" s="30" t="s">
        <v>897</v>
      </c>
      <c r="I80" s="30" t="s">
        <v>897</v>
      </c>
      <c r="J80" s="10" t="s">
        <v>438</v>
      </c>
      <c r="K80" s="10" t="s">
        <v>439</v>
      </c>
      <c r="L80" s="10" t="s">
        <v>439</v>
      </c>
    </row>
    <row r="81" spans="1:12" ht="58" x14ac:dyDescent="0.35">
      <c r="A81" s="30" t="s">
        <v>152</v>
      </c>
      <c r="B81" s="30" t="s">
        <v>898</v>
      </c>
      <c r="C81" s="30" t="s">
        <v>899</v>
      </c>
      <c r="D81" s="30" t="s">
        <v>900</v>
      </c>
      <c r="E81" s="35" t="s">
        <v>901</v>
      </c>
      <c r="F81" s="9" t="s">
        <v>902</v>
      </c>
      <c r="G81" s="10" t="s">
        <v>435</v>
      </c>
      <c r="H81" s="30" t="s">
        <v>903</v>
      </c>
      <c r="I81" s="30" t="s">
        <v>903</v>
      </c>
      <c r="J81" s="10" t="s">
        <v>438</v>
      </c>
      <c r="K81" s="10" t="s">
        <v>439</v>
      </c>
      <c r="L81" s="10" t="s">
        <v>439</v>
      </c>
    </row>
    <row r="82" spans="1:12" ht="29" x14ac:dyDescent="0.35">
      <c r="A82" s="30" t="s">
        <v>904</v>
      </c>
      <c r="B82" s="30" t="s">
        <v>905</v>
      </c>
      <c r="C82" s="30" t="s">
        <v>847</v>
      </c>
      <c r="D82" s="30" t="s">
        <v>877</v>
      </c>
      <c r="E82" s="35" t="s">
        <v>906</v>
      </c>
      <c r="F82" s="9" t="s">
        <v>907</v>
      </c>
      <c r="G82" s="10" t="s">
        <v>484</v>
      </c>
      <c r="H82" s="30" t="s">
        <v>908</v>
      </c>
      <c r="I82" s="30" t="s">
        <v>908</v>
      </c>
      <c r="J82" s="10" t="s">
        <v>438</v>
      </c>
      <c r="K82" s="10" t="s">
        <v>439</v>
      </c>
      <c r="L82" s="10" t="s">
        <v>439</v>
      </c>
    </row>
    <row r="83" spans="1:12" ht="101.5" x14ac:dyDescent="0.35">
      <c r="A83" s="30" t="s">
        <v>909</v>
      </c>
      <c r="B83" s="30" t="s">
        <v>910</v>
      </c>
      <c r="C83" s="30" t="s">
        <v>911</v>
      </c>
      <c r="D83" s="30" t="s">
        <v>865</v>
      </c>
      <c r="E83" s="35" t="s">
        <v>912</v>
      </c>
      <c r="F83" s="9" t="s">
        <v>913</v>
      </c>
      <c r="G83" s="10" t="s">
        <v>435</v>
      </c>
      <c r="H83" s="30" t="s">
        <v>914</v>
      </c>
      <c r="I83" s="30" t="s">
        <v>915</v>
      </c>
      <c r="J83" s="10" t="s">
        <v>470</v>
      </c>
      <c r="K83" s="10" t="s">
        <v>439</v>
      </c>
      <c r="L83" s="10" t="s">
        <v>439</v>
      </c>
    </row>
    <row r="84" spans="1:12" ht="159.5" x14ac:dyDescent="0.35">
      <c r="A84" s="30" t="s">
        <v>916</v>
      </c>
      <c r="B84" s="30" t="s">
        <v>917</v>
      </c>
      <c r="C84" s="30" t="s">
        <v>918</v>
      </c>
      <c r="D84" s="30" t="s">
        <v>919</v>
      </c>
      <c r="E84" s="35" t="s">
        <v>920</v>
      </c>
      <c r="F84" s="9" t="s">
        <v>921</v>
      </c>
      <c r="G84" s="10" t="s">
        <v>435</v>
      </c>
      <c r="H84" s="30" t="s">
        <v>922</v>
      </c>
      <c r="I84" s="30" t="s">
        <v>922</v>
      </c>
      <c r="J84" s="10" t="s">
        <v>438</v>
      </c>
      <c r="K84" s="10" t="s">
        <v>439</v>
      </c>
      <c r="L84" s="10" t="s">
        <v>439</v>
      </c>
    </row>
    <row r="85" spans="1:12" ht="101.5" x14ac:dyDescent="0.35">
      <c r="A85" s="30" t="s">
        <v>923</v>
      </c>
      <c r="B85" s="30" t="s">
        <v>924</v>
      </c>
      <c r="C85" s="30" t="s">
        <v>925</v>
      </c>
      <c r="D85" s="30" t="s">
        <v>865</v>
      </c>
      <c r="E85" s="35" t="s">
        <v>912</v>
      </c>
      <c r="F85" s="9" t="s">
        <v>926</v>
      </c>
      <c r="G85" s="10" t="s">
        <v>484</v>
      </c>
      <c r="H85" s="30" t="s">
        <v>927</v>
      </c>
      <c r="I85" s="30" t="s">
        <v>928</v>
      </c>
      <c r="J85" s="10" t="s">
        <v>438</v>
      </c>
      <c r="K85" s="10" t="s">
        <v>439</v>
      </c>
      <c r="L85" s="10" t="s">
        <v>439</v>
      </c>
    </row>
    <row r="86" spans="1:12" ht="101.5" x14ac:dyDescent="0.35">
      <c r="A86" s="30" t="s">
        <v>929</v>
      </c>
      <c r="B86" s="30" t="s">
        <v>930</v>
      </c>
      <c r="C86" s="30" t="s">
        <v>931</v>
      </c>
      <c r="D86" s="30" t="s">
        <v>865</v>
      </c>
      <c r="E86" s="35" t="s">
        <v>932</v>
      </c>
      <c r="F86" s="9" t="s">
        <v>933</v>
      </c>
      <c r="G86" s="10" t="s">
        <v>538</v>
      </c>
      <c r="H86" s="30" t="s">
        <v>934</v>
      </c>
      <c r="I86" s="30" t="s">
        <v>935</v>
      </c>
      <c r="J86" s="10" t="s">
        <v>470</v>
      </c>
      <c r="K86" s="10" t="s">
        <v>439</v>
      </c>
      <c r="L86" s="10" t="s">
        <v>439</v>
      </c>
    </row>
    <row r="87" spans="1:12" ht="101.5" x14ac:dyDescent="0.35">
      <c r="A87" s="30" t="s">
        <v>936</v>
      </c>
      <c r="B87" s="30" t="s">
        <v>937</v>
      </c>
      <c r="C87" s="30" t="s">
        <v>938</v>
      </c>
      <c r="D87" s="30" t="s">
        <v>865</v>
      </c>
      <c r="E87" s="35" t="s">
        <v>912</v>
      </c>
      <c r="F87" s="9" t="s">
        <v>939</v>
      </c>
      <c r="G87" s="10" t="s">
        <v>435</v>
      </c>
      <c r="H87" s="30" t="s">
        <v>684</v>
      </c>
      <c r="I87" s="30" t="s">
        <v>940</v>
      </c>
      <c r="J87" s="10" t="s">
        <v>470</v>
      </c>
      <c r="K87" s="10" t="s">
        <v>439</v>
      </c>
      <c r="L87" s="10" t="s">
        <v>439</v>
      </c>
    </row>
    <row r="88" spans="1:12" ht="101.5" x14ac:dyDescent="0.35">
      <c r="A88" s="30" t="s">
        <v>941</v>
      </c>
      <c r="B88" s="30" t="s">
        <v>691</v>
      </c>
      <c r="C88" s="30" t="s">
        <v>942</v>
      </c>
      <c r="D88" s="30" t="s">
        <v>865</v>
      </c>
      <c r="E88" s="35" t="s">
        <v>912</v>
      </c>
      <c r="F88" s="9" t="s">
        <v>943</v>
      </c>
      <c r="G88" s="10" t="s">
        <v>484</v>
      </c>
      <c r="H88" s="30" t="s">
        <v>694</v>
      </c>
      <c r="I88" s="30" t="s">
        <v>944</v>
      </c>
      <c r="J88" s="10" t="s">
        <v>470</v>
      </c>
      <c r="K88" s="10" t="s">
        <v>439</v>
      </c>
      <c r="L88" s="10" t="s">
        <v>439</v>
      </c>
    </row>
    <row r="89" spans="1:12" ht="246.5" x14ac:dyDescent="0.35">
      <c r="A89" s="30" t="s">
        <v>945</v>
      </c>
      <c r="B89" s="30" t="s">
        <v>696</v>
      </c>
      <c r="C89" s="30" t="s">
        <v>697</v>
      </c>
      <c r="D89" s="30" t="s">
        <v>865</v>
      </c>
      <c r="E89" s="35" t="s">
        <v>946</v>
      </c>
      <c r="F89" s="9" t="s">
        <v>947</v>
      </c>
      <c r="G89" s="10" t="s">
        <v>538</v>
      </c>
      <c r="H89" s="30" t="s">
        <v>699</v>
      </c>
      <c r="I89" s="30" t="s">
        <v>700</v>
      </c>
      <c r="J89" s="10" t="s">
        <v>470</v>
      </c>
      <c r="K89" s="10" t="s">
        <v>439</v>
      </c>
      <c r="L89" s="10" t="s">
        <v>439</v>
      </c>
    </row>
    <row r="90" spans="1:12" ht="101.5" x14ac:dyDescent="0.35">
      <c r="A90" s="30" t="s">
        <v>948</v>
      </c>
      <c r="B90" s="30" t="s">
        <v>949</v>
      </c>
      <c r="C90" s="30" t="s">
        <v>950</v>
      </c>
      <c r="D90" s="30" t="s">
        <v>865</v>
      </c>
      <c r="E90" s="35" t="s">
        <v>912</v>
      </c>
      <c r="F90" s="9" t="s">
        <v>951</v>
      </c>
      <c r="G90" s="10" t="s">
        <v>435</v>
      </c>
      <c r="H90" s="30" t="s">
        <v>706</v>
      </c>
      <c r="I90" s="30" t="s">
        <v>952</v>
      </c>
      <c r="J90" s="10" t="s">
        <v>470</v>
      </c>
      <c r="K90" s="10" t="s">
        <v>439</v>
      </c>
      <c r="L90" s="10" t="s">
        <v>439</v>
      </c>
    </row>
    <row r="91" spans="1:12" ht="101.5" x14ac:dyDescent="0.35">
      <c r="A91" s="30" t="s">
        <v>953</v>
      </c>
      <c r="B91" s="30" t="s">
        <v>954</v>
      </c>
      <c r="C91" s="30" t="s">
        <v>955</v>
      </c>
      <c r="D91" s="30" t="s">
        <v>865</v>
      </c>
      <c r="E91" s="35" t="s">
        <v>912</v>
      </c>
      <c r="F91" s="9" t="s">
        <v>956</v>
      </c>
      <c r="G91" s="10" t="s">
        <v>435</v>
      </c>
      <c r="H91" s="30" t="s">
        <v>606</v>
      </c>
      <c r="I91" s="30" t="s">
        <v>957</v>
      </c>
      <c r="J91" s="10" t="s">
        <v>470</v>
      </c>
      <c r="K91" s="10" t="s">
        <v>439</v>
      </c>
      <c r="L91" s="10" t="s">
        <v>439</v>
      </c>
    </row>
    <row r="92" spans="1:12" ht="101.5" x14ac:dyDescent="0.35">
      <c r="A92" s="30" t="s">
        <v>958</v>
      </c>
      <c r="B92" s="30" t="s">
        <v>711</v>
      </c>
      <c r="C92" s="30" t="s">
        <v>959</v>
      </c>
      <c r="D92" s="30" t="s">
        <v>865</v>
      </c>
      <c r="E92" s="35" t="s">
        <v>912</v>
      </c>
      <c r="F92" s="9" t="s">
        <v>960</v>
      </c>
      <c r="G92" s="10" t="s">
        <v>484</v>
      </c>
      <c r="H92" s="30" t="s">
        <v>961</v>
      </c>
      <c r="I92" s="30" t="s">
        <v>962</v>
      </c>
      <c r="J92" s="10" t="s">
        <v>470</v>
      </c>
      <c r="K92" s="10" t="s">
        <v>439</v>
      </c>
      <c r="L92" s="10" t="s">
        <v>439</v>
      </c>
    </row>
    <row r="93" spans="1:12" ht="101.5" x14ac:dyDescent="0.35">
      <c r="A93" s="30" t="s">
        <v>963</v>
      </c>
      <c r="B93" s="30" t="s">
        <v>964</v>
      </c>
      <c r="C93" s="30" t="s">
        <v>965</v>
      </c>
      <c r="D93" s="30" t="s">
        <v>865</v>
      </c>
      <c r="E93" s="35" t="s">
        <v>912</v>
      </c>
      <c r="F93" s="9" t="s">
        <v>966</v>
      </c>
      <c r="G93" s="10" t="s">
        <v>435</v>
      </c>
      <c r="H93" s="30" t="s">
        <v>721</v>
      </c>
      <c r="I93" s="30" t="s">
        <v>967</v>
      </c>
      <c r="J93" s="10" t="s">
        <v>470</v>
      </c>
      <c r="K93" s="10" t="s">
        <v>439</v>
      </c>
      <c r="L93" s="10" t="s">
        <v>439</v>
      </c>
    </row>
    <row r="94" spans="1:12" ht="101.5" x14ac:dyDescent="0.35">
      <c r="A94" s="30" t="s">
        <v>968</v>
      </c>
      <c r="B94" s="30" t="s">
        <v>969</v>
      </c>
      <c r="C94" s="30" t="s">
        <v>970</v>
      </c>
      <c r="D94" s="30" t="s">
        <v>865</v>
      </c>
      <c r="E94" s="35" t="s">
        <v>912</v>
      </c>
      <c r="F94" s="9" t="s">
        <v>971</v>
      </c>
      <c r="G94" s="10" t="s">
        <v>435</v>
      </c>
      <c r="H94" s="30" t="s">
        <v>606</v>
      </c>
      <c r="I94" s="30" t="s">
        <v>972</v>
      </c>
      <c r="J94" s="10" t="s">
        <v>470</v>
      </c>
      <c r="K94" s="10" t="s">
        <v>439</v>
      </c>
      <c r="L94" s="10" t="s">
        <v>439</v>
      </c>
    </row>
    <row r="95" spans="1:12" ht="275.5" x14ac:dyDescent="0.35">
      <c r="A95" s="30" t="s">
        <v>973</v>
      </c>
      <c r="B95" s="30" t="s">
        <v>726</v>
      </c>
      <c r="C95" s="30" t="s">
        <v>624</v>
      </c>
      <c r="D95" s="30" t="s">
        <v>865</v>
      </c>
      <c r="E95" s="35" t="s">
        <v>946</v>
      </c>
      <c r="F95" s="9" t="s">
        <v>974</v>
      </c>
      <c r="G95" s="10" t="s">
        <v>538</v>
      </c>
      <c r="H95" s="30" t="s">
        <v>627</v>
      </c>
      <c r="I95" s="30" t="s">
        <v>975</v>
      </c>
      <c r="J95" s="10" t="s">
        <v>470</v>
      </c>
      <c r="K95" s="10" t="s">
        <v>439</v>
      </c>
      <c r="L95" s="10" t="s">
        <v>439</v>
      </c>
    </row>
    <row r="96" spans="1:12" ht="101.5" x14ac:dyDescent="0.35">
      <c r="A96" s="30" t="s">
        <v>976</v>
      </c>
      <c r="B96" s="30" t="s">
        <v>977</v>
      </c>
      <c r="C96" s="30" t="s">
        <v>978</v>
      </c>
      <c r="D96" s="30" t="s">
        <v>865</v>
      </c>
      <c r="E96" s="35" t="s">
        <v>912</v>
      </c>
      <c r="F96" s="9" t="s">
        <v>979</v>
      </c>
      <c r="G96" s="10" t="s">
        <v>435</v>
      </c>
      <c r="H96" s="30" t="s">
        <v>734</v>
      </c>
      <c r="I96" s="30" t="s">
        <v>980</v>
      </c>
      <c r="J96" s="10" t="s">
        <v>470</v>
      </c>
      <c r="K96" s="10" t="s">
        <v>439</v>
      </c>
      <c r="L96" s="10" t="s">
        <v>439</v>
      </c>
    </row>
    <row r="97" spans="1:12" ht="130.5" x14ac:dyDescent="0.35">
      <c r="A97" s="30" t="s">
        <v>981</v>
      </c>
      <c r="B97" s="30" t="s">
        <v>982</v>
      </c>
      <c r="C97" s="30" t="s">
        <v>983</v>
      </c>
      <c r="D97" s="30" t="s">
        <v>865</v>
      </c>
      <c r="E97" s="35" t="s">
        <v>984</v>
      </c>
      <c r="F97" s="9" t="s">
        <v>985</v>
      </c>
      <c r="G97" s="10" t="s">
        <v>435</v>
      </c>
      <c r="H97" s="30" t="s">
        <v>739</v>
      </c>
      <c r="I97" s="30" t="s">
        <v>986</v>
      </c>
      <c r="J97" s="10" t="s">
        <v>470</v>
      </c>
      <c r="K97" s="10" t="s">
        <v>439</v>
      </c>
      <c r="L97" s="10" t="s">
        <v>439</v>
      </c>
    </row>
    <row r="98" spans="1:12" ht="101.5" x14ac:dyDescent="0.35">
      <c r="A98" s="30" t="s">
        <v>987</v>
      </c>
      <c r="B98" s="30" t="s">
        <v>988</v>
      </c>
      <c r="C98" s="30" t="s">
        <v>989</v>
      </c>
      <c r="D98" s="30" t="s">
        <v>865</v>
      </c>
      <c r="E98" s="35" t="s">
        <v>912</v>
      </c>
      <c r="F98" s="9" t="s">
        <v>990</v>
      </c>
      <c r="G98" s="10" t="s">
        <v>435</v>
      </c>
      <c r="H98" s="30" t="s">
        <v>744</v>
      </c>
      <c r="I98" s="30" t="s">
        <v>991</v>
      </c>
      <c r="J98" s="10" t="s">
        <v>470</v>
      </c>
      <c r="K98" s="10" t="s">
        <v>439</v>
      </c>
      <c r="L98" s="10" t="s">
        <v>439</v>
      </c>
    </row>
    <row r="99" spans="1:12" ht="101.5" x14ac:dyDescent="0.35">
      <c r="A99" s="30" t="s">
        <v>992</v>
      </c>
      <c r="B99" s="30" t="s">
        <v>746</v>
      </c>
      <c r="C99" s="30" t="s">
        <v>747</v>
      </c>
      <c r="D99" s="30" t="s">
        <v>865</v>
      </c>
      <c r="E99" s="35" t="s">
        <v>912</v>
      </c>
      <c r="F99" s="9" t="s">
        <v>993</v>
      </c>
      <c r="G99" s="10" t="s">
        <v>484</v>
      </c>
      <c r="H99" s="30" t="s">
        <v>749</v>
      </c>
      <c r="I99" s="30" t="s">
        <v>994</v>
      </c>
      <c r="J99" s="10" t="s">
        <v>470</v>
      </c>
      <c r="K99" s="10" t="s">
        <v>439</v>
      </c>
      <c r="L99" s="10" t="s">
        <v>439</v>
      </c>
    </row>
    <row r="100" spans="1:12" ht="101.5" x14ac:dyDescent="0.35">
      <c r="A100" s="30" t="s">
        <v>995</v>
      </c>
      <c r="B100" s="30" t="s">
        <v>996</v>
      </c>
      <c r="C100" s="30" t="s">
        <v>997</v>
      </c>
      <c r="D100" s="30" t="s">
        <v>865</v>
      </c>
      <c r="E100" s="35" t="s">
        <v>912</v>
      </c>
      <c r="F100" s="9" t="s">
        <v>998</v>
      </c>
      <c r="G100" s="10" t="s">
        <v>435</v>
      </c>
      <c r="H100" s="30" t="s">
        <v>756</v>
      </c>
      <c r="I100" s="30" t="s">
        <v>999</v>
      </c>
      <c r="J100" s="10" t="s">
        <v>470</v>
      </c>
      <c r="K100" s="10" t="s">
        <v>439</v>
      </c>
      <c r="L100" s="10" t="s">
        <v>439</v>
      </c>
    </row>
    <row r="101" spans="1:12" ht="130.5" x14ac:dyDescent="0.35">
      <c r="A101" s="30" t="s">
        <v>1000</v>
      </c>
      <c r="B101" s="30" t="s">
        <v>1001</v>
      </c>
      <c r="C101" s="30" t="s">
        <v>1002</v>
      </c>
      <c r="D101" s="30" t="s">
        <v>865</v>
      </c>
      <c r="E101" s="35" t="s">
        <v>984</v>
      </c>
      <c r="F101" s="9" t="s">
        <v>1003</v>
      </c>
      <c r="G101" s="10" t="s">
        <v>435</v>
      </c>
      <c r="H101" s="30" t="s">
        <v>760</v>
      </c>
      <c r="I101" s="30" t="s">
        <v>1004</v>
      </c>
      <c r="J101" s="10" t="s">
        <v>470</v>
      </c>
      <c r="K101" s="10" t="s">
        <v>439</v>
      </c>
      <c r="L101" s="10" t="s">
        <v>439</v>
      </c>
    </row>
    <row r="102" spans="1:12" ht="101.5" x14ac:dyDescent="0.35">
      <c r="A102" s="30" t="s">
        <v>1005</v>
      </c>
      <c r="B102" s="30" t="s">
        <v>762</v>
      </c>
      <c r="C102" s="30" t="s">
        <v>763</v>
      </c>
      <c r="D102" s="30" t="s">
        <v>865</v>
      </c>
      <c r="E102" s="35" t="s">
        <v>912</v>
      </c>
      <c r="F102" s="9" t="s">
        <v>1006</v>
      </c>
      <c r="G102" s="10" t="s">
        <v>435</v>
      </c>
      <c r="H102" s="30" t="s">
        <v>1007</v>
      </c>
      <c r="I102" s="30" t="s">
        <v>1008</v>
      </c>
      <c r="J102" s="10" t="s">
        <v>470</v>
      </c>
      <c r="K102" s="10" t="s">
        <v>439</v>
      </c>
      <c r="L102" s="10" t="s">
        <v>439</v>
      </c>
    </row>
    <row r="103" spans="1:12" ht="101.5" x14ac:dyDescent="0.35">
      <c r="A103" s="30" t="s">
        <v>1009</v>
      </c>
      <c r="B103" s="30" t="s">
        <v>768</v>
      </c>
      <c r="C103" s="30" t="s">
        <v>769</v>
      </c>
      <c r="D103" s="30" t="s">
        <v>865</v>
      </c>
      <c r="E103" s="35" t="s">
        <v>912</v>
      </c>
      <c r="F103" s="9" t="s">
        <v>1010</v>
      </c>
      <c r="G103" s="10" t="s">
        <v>484</v>
      </c>
      <c r="H103" s="30" t="s">
        <v>1011</v>
      </c>
      <c r="I103" s="30" t="s">
        <v>1012</v>
      </c>
      <c r="J103" s="10" t="s">
        <v>470</v>
      </c>
      <c r="K103" s="10" t="s">
        <v>439</v>
      </c>
      <c r="L103" s="10" t="s">
        <v>439</v>
      </c>
    </row>
    <row r="104" spans="1:12" ht="101.5" x14ac:dyDescent="0.35">
      <c r="A104" s="30" t="s">
        <v>1013</v>
      </c>
      <c r="B104" s="30" t="s">
        <v>1014</v>
      </c>
      <c r="C104" s="30" t="s">
        <v>1015</v>
      </c>
      <c r="D104" s="30" t="s">
        <v>865</v>
      </c>
      <c r="E104" s="35" t="s">
        <v>912</v>
      </c>
      <c r="F104" s="9" t="s">
        <v>1016</v>
      </c>
      <c r="G104" s="10" t="s">
        <v>435</v>
      </c>
      <c r="H104" s="30" t="s">
        <v>778</v>
      </c>
      <c r="I104" s="30" t="s">
        <v>1017</v>
      </c>
      <c r="J104" s="10" t="s">
        <v>470</v>
      </c>
      <c r="K104" s="10" t="s">
        <v>439</v>
      </c>
      <c r="L104" s="10" t="s">
        <v>439</v>
      </c>
    </row>
    <row r="105" spans="1:12" ht="174" x14ac:dyDescent="0.35">
      <c r="A105" s="30" t="s">
        <v>1018</v>
      </c>
      <c r="B105" s="30" t="s">
        <v>1019</v>
      </c>
      <c r="C105" s="30" t="s">
        <v>1020</v>
      </c>
      <c r="D105" s="30" t="s">
        <v>865</v>
      </c>
      <c r="E105" s="35" t="s">
        <v>984</v>
      </c>
      <c r="F105" s="9" t="s">
        <v>1021</v>
      </c>
      <c r="G105" s="10" t="s">
        <v>435</v>
      </c>
      <c r="H105" s="30" t="s">
        <v>783</v>
      </c>
      <c r="I105" s="30" t="s">
        <v>1022</v>
      </c>
      <c r="J105" s="10" t="s">
        <v>470</v>
      </c>
      <c r="K105" s="10" t="s">
        <v>439</v>
      </c>
      <c r="L105" s="10" t="s">
        <v>439</v>
      </c>
    </row>
    <row r="106" spans="1:12" ht="101.5" x14ac:dyDescent="0.35">
      <c r="A106" s="30" t="s">
        <v>1023</v>
      </c>
      <c r="B106" s="30" t="s">
        <v>1024</v>
      </c>
      <c r="C106" s="30" t="s">
        <v>1025</v>
      </c>
      <c r="D106" s="30" t="s">
        <v>865</v>
      </c>
      <c r="E106" s="35" t="s">
        <v>912</v>
      </c>
      <c r="F106" s="9" t="s">
        <v>1026</v>
      </c>
      <c r="G106" s="10" t="s">
        <v>435</v>
      </c>
      <c r="H106" s="30" t="s">
        <v>1027</v>
      </c>
      <c r="I106" s="30" t="s">
        <v>1028</v>
      </c>
      <c r="J106" s="10" t="s">
        <v>470</v>
      </c>
      <c r="K106" s="10" t="s">
        <v>439</v>
      </c>
      <c r="L106" s="10" t="s">
        <v>439</v>
      </c>
    </row>
    <row r="107" spans="1:12" ht="116" x14ac:dyDescent="0.35">
      <c r="A107" s="30" t="s">
        <v>1029</v>
      </c>
      <c r="B107" s="30" t="s">
        <v>1030</v>
      </c>
      <c r="C107" s="30" t="s">
        <v>1031</v>
      </c>
      <c r="D107" s="30" t="s">
        <v>1032</v>
      </c>
      <c r="E107" s="35" t="s">
        <v>912</v>
      </c>
      <c r="F107" s="9" t="s">
        <v>1033</v>
      </c>
      <c r="G107" s="10" t="s">
        <v>435</v>
      </c>
      <c r="H107" s="30" t="s">
        <v>1034</v>
      </c>
      <c r="I107" s="30" t="s">
        <v>1035</v>
      </c>
      <c r="J107" s="10" t="s">
        <v>470</v>
      </c>
      <c r="K107" s="10" t="s">
        <v>439</v>
      </c>
      <c r="L107" s="10" t="s">
        <v>439</v>
      </c>
    </row>
    <row r="108" spans="1:12" ht="101.5" x14ac:dyDescent="0.35">
      <c r="A108" s="30" t="s">
        <v>1036</v>
      </c>
      <c r="B108" s="30" t="s">
        <v>1037</v>
      </c>
      <c r="C108" s="30" t="s">
        <v>793</v>
      </c>
      <c r="D108" s="30" t="s">
        <v>1038</v>
      </c>
      <c r="E108" s="35" t="s">
        <v>912</v>
      </c>
      <c r="F108" s="9" t="s">
        <v>1039</v>
      </c>
      <c r="G108" s="10" t="s">
        <v>484</v>
      </c>
      <c r="H108" s="30" t="s">
        <v>796</v>
      </c>
      <c r="I108" s="30" t="s">
        <v>1040</v>
      </c>
      <c r="J108" s="10" t="s">
        <v>470</v>
      </c>
      <c r="K108" s="10" t="s">
        <v>439</v>
      </c>
      <c r="L108" s="10" t="s">
        <v>439</v>
      </c>
    </row>
    <row r="109" spans="1:12" ht="116" x14ac:dyDescent="0.35">
      <c r="A109" s="30" t="s">
        <v>1041</v>
      </c>
      <c r="B109" s="30" t="s">
        <v>1042</v>
      </c>
      <c r="C109" s="30" t="s">
        <v>1043</v>
      </c>
      <c r="D109" s="30" t="s">
        <v>865</v>
      </c>
      <c r="E109" s="35" t="s">
        <v>912</v>
      </c>
      <c r="F109" s="9" t="s">
        <v>1044</v>
      </c>
      <c r="G109" s="10" t="s">
        <v>435</v>
      </c>
      <c r="H109" s="30" t="s">
        <v>1045</v>
      </c>
      <c r="I109" s="30" t="s">
        <v>1046</v>
      </c>
      <c r="J109" s="10" t="s">
        <v>470</v>
      </c>
      <c r="K109" s="10" t="s">
        <v>439</v>
      </c>
      <c r="L109" s="10" t="s">
        <v>439</v>
      </c>
    </row>
    <row r="110" spans="1:12" ht="188.5" x14ac:dyDescent="0.35">
      <c r="A110" s="30" t="s">
        <v>1047</v>
      </c>
      <c r="B110" s="30" t="s">
        <v>798</v>
      </c>
      <c r="C110" s="30" t="s">
        <v>624</v>
      </c>
      <c r="D110" s="30" t="s">
        <v>865</v>
      </c>
      <c r="E110" s="35" t="s">
        <v>946</v>
      </c>
      <c r="F110" s="9" t="s">
        <v>1048</v>
      </c>
      <c r="G110" s="10" t="s">
        <v>538</v>
      </c>
      <c r="H110" s="30" t="s">
        <v>627</v>
      </c>
      <c r="I110" s="30" t="s">
        <v>1049</v>
      </c>
      <c r="J110" s="10" t="s">
        <v>470</v>
      </c>
      <c r="K110" s="10" t="s">
        <v>439</v>
      </c>
      <c r="L110" s="10" t="s">
        <v>439</v>
      </c>
    </row>
    <row r="111" spans="1:12" ht="101.5" x14ac:dyDescent="0.35">
      <c r="A111" s="30" t="s">
        <v>1050</v>
      </c>
      <c r="B111" s="30" t="s">
        <v>836</v>
      </c>
      <c r="C111" s="30" t="s">
        <v>837</v>
      </c>
      <c r="D111" s="30" t="s">
        <v>865</v>
      </c>
      <c r="E111" s="35" t="s">
        <v>912</v>
      </c>
      <c r="F111" s="9" t="s">
        <v>1051</v>
      </c>
      <c r="G111" s="10" t="s">
        <v>484</v>
      </c>
      <c r="H111" s="30" t="s">
        <v>1052</v>
      </c>
      <c r="I111" s="30" t="s">
        <v>1053</v>
      </c>
      <c r="J111" s="10" t="s">
        <v>470</v>
      </c>
      <c r="K111" s="10" t="s">
        <v>439</v>
      </c>
      <c r="L111" s="10" t="s">
        <v>439</v>
      </c>
    </row>
    <row r="112" spans="1:12" ht="58" x14ac:dyDescent="0.35">
      <c r="A112" s="30" t="s">
        <v>1054</v>
      </c>
      <c r="B112" s="30" t="s">
        <v>1055</v>
      </c>
      <c r="C112" s="30" t="s">
        <v>1056</v>
      </c>
      <c r="D112" s="30" t="s">
        <v>865</v>
      </c>
      <c r="E112" s="35" t="s">
        <v>1057</v>
      </c>
      <c r="F112" s="9" t="s">
        <v>1058</v>
      </c>
      <c r="G112" s="10" t="s">
        <v>435</v>
      </c>
      <c r="H112" s="30" t="s">
        <v>1059</v>
      </c>
      <c r="I112" s="30" t="s">
        <v>1060</v>
      </c>
      <c r="J112" s="10" t="s">
        <v>470</v>
      </c>
      <c r="K112" s="10" t="s">
        <v>439</v>
      </c>
      <c r="L112" s="10" t="s">
        <v>439</v>
      </c>
    </row>
    <row r="113" spans="1:12" ht="101.5" x14ac:dyDescent="0.35">
      <c r="A113" s="30" t="s">
        <v>172</v>
      </c>
      <c r="B113" s="30" t="s">
        <v>841</v>
      </c>
      <c r="C113" s="30" t="s">
        <v>842</v>
      </c>
      <c r="D113" s="30" t="s">
        <v>865</v>
      </c>
      <c r="E113" s="35" t="s">
        <v>912</v>
      </c>
      <c r="F113" s="9" t="s">
        <v>1061</v>
      </c>
      <c r="G113" s="10" t="s">
        <v>435</v>
      </c>
      <c r="H113" s="30" t="s">
        <v>1062</v>
      </c>
      <c r="I113" s="30" t="s">
        <v>1063</v>
      </c>
      <c r="J113" s="10" t="s">
        <v>438</v>
      </c>
      <c r="K113" s="10" t="s">
        <v>439</v>
      </c>
      <c r="L113" s="10" t="s">
        <v>439</v>
      </c>
    </row>
    <row r="114" spans="1:12" s="29" customFormat="1" ht="26" x14ac:dyDescent="0.35">
      <c r="A114" s="31"/>
      <c r="B114" s="33" t="s">
        <v>3106</v>
      </c>
      <c r="C114" s="31"/>
      <c r="D114" s="31"/>
      <c r="E114" s="36"/>
      <c r="F114" s="28"/>
      <c r="G114" s="27"/>
      <c r="H114" s="31"/>
      <c r="I114" s="31"/>
      <c r="J114" s="27"/>
      <c r="K114" s="27"/>
      <c r="L114" s="27"/>
    </row>
    <row r="115" spans="1:12" ht="58" x14ac:dyDescent="0.35">
      <c r="A115" s="30" t="s">
        <v>1064</v>
      </c>
      <c r="B115" s="30" t="s">
        <v>1065</v>
      </c>
      <c r="C115" s="30" t="s">
        <v>1066</v>
      </c>
      <c r="D115" s="30" t="s">
        <v>1067</v>
      </c>
      <c r="E115" s="35" t="s">
        <v>1068</v>
      </c>
      <c r="F115" s="9" t="s">
        <v>1069</v>
      </c>
      <c r="G115" s="10" t="s">
        <v>435</v>
      </c>
      <c r="H115" s="30" t="s">
        <v>1070</v>
      </c>
      <c r="I115" s="30" t="s">
        <v>1071</v>
      </c>
      <c r="J115" s="10" t="s">
        <v>470</v>
      </c>
      <c r="K115" s="10" t="s">
        <v>439</v>
      </c>
      <c r="L115" s="10" t="s">
        <v>439</v>
      </c>
    </row>
    <row r="116" spans="1:12" ht="43.5" x14ac:dyDescent="0.35">
      <c r="A116" s="30" t="s">
        <v>1072</v>
      </c>
      <c r="B116" s="30" t="s">
        <v>178</v>
      </c>
      <c r="C116" s="30" t="s">
        <v>1073</v>
      </c>
      <c r="D116" s="30" t="s">
        <v>1074</v>
      </c>
      <c r="E116" s="35" t="s">
        <v>1075</v>
      </c>
      <c r="F116" s="9" t="s">
        <v>1069</v>
      </c>
      <c r="G116" s="10" t="s">
        <v>435</v>
      </c>
      <c r="H116" s="30" t="s">
        <v>1076</v>
      </c>
      <c r="I116" s="30" t="s">
        <v>1077</v>
      </c>
      <c r="J116" s="10" t="s">
        <v>438</v>
      </c>
      <c r="K116" s="10" t="s">
        <v>439</v>
      </c>
      <c r="L116" s="10" t="s">
        <v>439</v>
      </c>
    </row>
    <row r="117" spans="1:12" ht="58" x14ac:dyDescent="0.35">
      <c r="A117" s="30" t="s">
        <v>1078</v>
      </c>
      <c r="B117" s="30" t="s">
        <v>1079</v>
      </c>
      <c r="C117" s="30" t="s">
        <v>1080</v>
      </c>
      <c r="D117" s="30" t="s">
        <v>1074</v>
      </c>
      <c r="E117" s="35" t="s">
        <v>1081</v>
      </c>
      <c r="F117" s="9" t="s">
        <v>1069</v>
      </c>
      <c r="G117" s="10" t="s">
        <v>435</v>
      </c>
      <c r="H117" s="30" t="s">
        <v>1082</v>
      </c>
      <c r="I117" s="30" t="s">
        <v>1083</v>
      </c>
      <c r="J117" s="10" t="s">
        <v>438</v>
      </c>
      <c r="K117" s="10" t="s">
        <v>439</v>
      </c>
      <c r="L117" s="10" t="s">
        <v>439</v>
      </c>
    </row>
    <row r="118" spans="1:12" ht="43.5" x14ac:dyDescent="0.35">
      <c r="A118" s="30" t="s">
        <v>1084</v>
      </c>
      <c r="B118" s="30" t="s">
        <v>1085</v>
      </c>
      <c r="C118" s="30" t="s">
        <v>1086</v>
      </c>
      <c r="D118" s="30" t="s">
        <v>1087</v>
      </c>
      <c r="E118" s="35" t="s">
        <v>1088</v>
      </c>
      <c r="F118" s="9" t="s">
        <v>1089</v>
      </c>
      <c r="G118" s="10" t="s">
        <v>435</v>
      </c>
      <c r="H118" s="30" t="s">
        <v>897</v>
      </c>
      <c r="I118" s="30" t="s">
        <v>1090</v>
      </c>
      <c r="J118" s="10" t="s">
        <v>438</v>
      </c>
      <c r="K118" s="10" t="s">
        <v>439</v>
      </c>
      <c r="L118" s="10" t="s">
        <v>439</v>
      </c>
    </row>
    <row r="119" spans="1:12" ht="43.5" x14ac:dyDescent="0.35">
      <c r="A119" s="30" t="s">
        <v>1091</v>
      </c>
      <c r="B119" s="30" t="s">
        <v>1092</v>
      </c>
      <c r="C119" s="30" t="s">
        <v>1093</v>
      </c>
      <c r="D119" s="30" t="s">
        <v>1094</v>
      </c>
      <c r="E119" s="35" t="s">
        <v>1095</v>
      </c>
      <c r="F119" s="9" t="s">
        <v>1096</v>
      </c>
      <c r="G119" s="10" t="s">
        <v>484</v>
      </c>
      <c r="H119" s="30" t="s">
        <v>897</v>
      </c>
      <c r="I119" s="30" t="s">
        <v>1090</v>
      </c>
      <c r="J119" s="10" t="s">
        <v>438</v>
      </c>
      <c r="K119" s="10" t="s">
        <v>439</v>
      </c>
      <c r="L119" s="10" t="s">
        <v>439</v>
      </c>
    </row>
    <row r="120" spans="1:12" ht="29" x14ac:dyDescent="0.35">
      <c r="A120" s="30" t="s">
        <v>1097</v>
      </c>
      <c r="B120" s="30" t="s">
        <v>1098</v>
      </c>
      <c r="C120" s="30" t="s">
        <v>876</v>
      </c>
      <c r="D120" s="30" t="s">
        <v>1099</v>
      </c>
      <c r="E120" s="35" t="s">
        <v>1095</v>
      </c>
      <c r="F120" s="9" t="s">
        <v>879</v>
      </c>
      <c r="G120" s="10" t="s">
        <v>435</v>
      </c>
      <c r="H120" s="30" t="s">
        <v>880</v>
      </c>
      <c r="I120" s="30" t="s">
        <v>880</v>
      </c>
      <c r="J120" s="10" t="s">
        <v>438</v>
      </c>
      <c r="K120" s="10" t="s">
        <v>439</v>
      </c>
      <c r="L120" s="10" t="s">
        <v>439</v>
      </c>
    </row>
    <row r="121" spans="1:12" ht="43.5" x14ac:dyDescent="0.35">
      <c r="A121" s="30" t="s">
        <v>1100</v>
      </c>
      <c r="B121" s="30" t="s">
        <v>1101</v>
      </c>
      <c r="C121" s="30" t="s">
        <v>737</v>
      </c>
      <c r="D121" s="30" t="s">
        <v>1099</v>
      </c>
      <c r="E121" s="35" t="s">
        <v>1102</v>
      </c>
      <c r="F121" s="9" t="s">
        <v>884</v>
      </c>
      <c r="G121" s="10" t="s">
        <v>435</v>
      </c>
      <c r="H121" s="30" t="s">
        <v>885</v>
      </c>
      <c r="I121" s="30" t="s">
        <v>885</v>
      </c>
      <c r="J121" s="10" t="s">
        <v>438</v>
      </c>
      <c r="K121" s="10" t="s">
        <v>439</v>
      </c>
      <c r="L121" s="10" t="s">
        <v>439</v>
      </c>
    </row>
    <row r="122" spans="1:12" ht="58" x14ac:dyDescent="0.35">
      <c r="A122" s="30" t="s">
        <v>1103</v>
      </c>
      <c r="B122" s="30" t="s">
        <v>1104</v>
      </c>
      <c r="C122" s="30" t="s">
        <v>1105</v>
      </c>
      <c r="D122" s="30" t="s">
        <v>1099</v>
      </c>
      <c r="E122" s="35" t="s">
        <v>1102</v>
      </c>
      <c r="F122" s="9" t="s">
        <v>890</v>
      </c>
      <c r="G122" s="10" t="s">
        <v>538</v>
      </c>
      <c r="H122" s="30" t="s">
        <v>1106</v>
      </c>
      <c r="I122" s="30" t="s">
        <v>1106</v>
      </c>
      <c r="J122" s="10" t="s">
        <v>438</v>
      </c>
      <c r="K122" s="10" t="s">
        <v>439</v>
      </c>
      <c r="L122" s="10" t="s">
        <v>439</v>
      </c>
    </row>
    <row r="123" spans="1:12" ht="29" x14ac:dyDescent="0.35">
      <c r="A123" s="30" t="s">
        <v>1107</v>
      </c>
      <c r="B123" s="30" t="s">
        <v>1108</v>
      </c>
      <c r="C123" s="30" t="s">
        <v>1109</v>
      </c>
      <c r="D123" s="30" t="s">
        <v>1099</v>
      </c>
      <c r="E123" s="35" t="s">
        <v>1095</v>
      </c>
      <c r="F123" s="9" t="s">
        <v>896</v>
      </c>
      <c r="G123" s="10" t="s">
        <v>435</v>
      </c>
      <c r="H123" s="30" t="s">
        <v>897</v>
      </c>
      <c r="I123" s="30" t="s">
        <v>897</v>
      </c>
      <c r="J123" s="10" t="s">
        <v>438</v>
      </c>
      <c r="K123" s="10" t="s">
        <v>439</v>
      </c>
      <c r="L123" s="10" t="s">
        <v>439</v>
      </c>
    </row>
    <row r="124" spans="1:12" ht="43.5" x14ac:dyDescent="0.35">
      <c r="A124" s="30" t="s">
        <v>186</v>
      </c>
      <c r="B124" s="30" t="s">
        <v>1110</v>
      </c>
      <c r="C124" s="30" t="s">
        <v>1111</v>
      </c>
      <c r="D124" s="30" t="s">
        <v>1112</v>
      </c>
      <c r="E124" s="35" t="s">
        <v>1113</v>
      </c>
      <c r="F124" s="9" t="s">
        <v>1114</v>
      </c>
      <c r="G124" s="10" t="s">
        <v>435</v>
      </c>
      <c r="H124" s="30" t="s">
        <v>1115</v>
      </c>
      <c r="I124" s="30" t="s">
        <v>1115</v>
      </c>
      <c r="J124" s="10" t="s">
        <v>438</v>
      </c>
      <c r="K124" s="10" t="s">
        <v>439</v>
      </c>
      <c r="L124" s="10" t="s">
        <v>439</v>
      </c>
    </row>
    <row r="125" spans="1:12" ht="58" x14ac:dyDescent="0.35">
      <c r="A125" s="30" t="s">
        <v>189</v>
      </c>
      <c r="B125" s="30" t="s">
        <v>1116</v>
      </c>
      <c r="C125" s="30" t="s">
        <v>1117</v>
      </c>
      <c r="D125" s="30" t="s">
        <v>1118</v>
      </c>
      <c r="E125" s="35" t="s">
        <v>1095</v>
      </c>
      <c r="F125" s="9" t="s">
        <v>1119</v>
      </c>
      <c r="G125" s="10" t="s">
        <v>435</v>
      </c>
      <c r="H125" s="30" t="s">
        <v>1120</v>
      </c>
      <c r="I125" s="30" t="s">
        <v>1120</v>
      </c>
      <c r="J125" s="10" t="s">
        <v>438</v>
      </c>
      <c r="K125" s="10" t="s">
        <v>439</v>
      </c>
      <c r="L125" s="10" t="s">
        <v>439</v>
      </c>
    </row>
    <row r="126" spans="1:12" ht="29" x14ac:dyDescent="0.35">
      <c r="A126" s="30" t="s">
        <v>1121</v>
      </c>
      <c r="B126" s="30" t="s">
        <v>508</v>
      </c>
      <c r="C126" s="30" t="s">
        <v>578</v>
      </c>
      <c r="D126" s="30" t="s">
        <v>1099</v>
      </c>
      <c r="E126" s="35" t="s">
        <v>1122</v>
      </c>
      <c r="F126" s="9" t="s">
        <v>1123</v>
      </c>
      <c r="G126" s="10" t="s">
        <v>538</v>
      </c>
      <c r="H126" s="30" t="s">
        <v>1124</v>
      </c>
      <c r="I126" s="30" t="s">
        <v>1124</v>
      </c>
      <c r="J126" s="10" t="s">
        <v>438</v>
      </c>
      <c r="K126" s="10" t="s">
        <v>439</v>
      </c>
      <c r="L126" s="10" t="s">
        <v>439</v>
      </c>
    </row>
    <row r="127" spans="1:12" ht="58" x14ac:dyDescent="0.35">
      <c r="A127" s="30" t="s">
        <v>195</v>
      </c>
      <c r="B127" s="30" t="s">
        <v>1125</v>
      </c>
      <c r="C127" s="30" t="s">
        <v>1126</v>
      </c>
      <c r="D127" s="30" t="s">
        <v>1087</v>
      </c>
      <c r="E127" s="35" t="s">
        <v>1127</v>
      </c>
      <c r="F127" s="9" t="s">
        <v>1128</v>
      </c>
      <c r="G127" s="10" t="s">
        <v>484</v>
      </c>
      <c r="H127" s="30" t="s">
        <v>1129</v>
      </c>
      <c r="I127" s="30" t="s">
        <v>1129</v>
      </c>
      <c r="J127" s="10" t="s">
        <v>438</v>
      </c>
      <c r="K127" s="10" t="s">
        <v>439</v>
      </c>
      <c r="L127" s="10" t="s">
        <v>439</v>
      </c>
    </row>
    <row r="128" spans="1:12" ht="29" x14ac:dyDescent="0.35">
      <c r="A128" s="30" t="s">
        <v>1130</v>
      </c>
      <c r="B128" s="30" t="s">
        <v>1131</v>
      </c>
      <c r="C128" s="30" t="s">
        <v>1132</v>
      </c>
      <c r="D128" s="30" t="s">
        <v>1099</v>
      </c>
      <c r="E128" s="35" t="s">
        <v>1133</v>
      </c>
      <c r="F128" s="9" t="s">
        <v>1134</v>
      </c>
      <c r="G128" s="10" t="s">
        <v>538</v>
      </c>
      <c r="H128" s="30" t="s">
        <v>1135</v>
      </c>
      <c r="I128" s="30" t="s">
        <v>1136</v>
      </c>
      <c r="J128" s="10" t="s">
        <v>470</v>
      </c>
      <c r="K128" s="10" t="s">
        <v>439</v>
      </c>
      <c r="L128" s="10" t="s">
        <v>439</v>
      </c>
    </row>
    <row r="129" spans="1:12" s="29" customFormat="1" ht="26" x14ac:dyDescent="0.35">
      <c r="A129" s="31"/>
      <c r="B129" s="33" t="s">
        <v>2306</v>
      </c>
      <c r="C129" s="31"/>
      <c r="D129" s="31"/>
      <c r="E129" s="36"/>
      <c r="F129" s="28"/>
      <c r="G129" s="27"/>
      <c r="H129" s="31"/>
      <c r="I129" s="31"/>
      <c r="J129" s="27"/>
      <c r="K129" s="27"/>
      <c r="L129" s="27"/>
    </row>
    <row r="130" spans="1:12" ht="58" x14ac:dyDescent="0.35">
      <c r="A130" s="30" t="s">
        <v>1137</v>
      </c>
      <c r="B130" s="30" t="s">
        <v>1138</v>
      </c>
      <c r="C130" s="30" t="s">
        <v>1139</v>
      </c>
      <c r="D130" s="30" t="s">
        <v>1140</v>
      </c>
      <c r="E130" s="35" t="s">
        <v>568</v>
      </c>
      <c r="F130" s="9" t="s">
        <v>1141</v>
      </c>
      <c r="G130" s="10" t="s">
        <v>435</v>
      </c>
      <c r="H130" s="30" t="s">
        <v>1142</v>
      </c>
      <c r="I130" s="30" t="s">
        <v>1143</v>
      </c>
      <c r="J130" s="10" t="s">
        <v>438</v>
      </c>
      <c r="K130" s="10" t="s">
        <v>439</v>
      </c>
      <c r="L130" s="10" t="s">
        <v>439</v>
      </c>
    </row>
    <row r="131" spans="1:12" ht="58" x14ac:dyDescent="0.35">
      <c r="A131" s="30" t="s">
        <v>1144</v>
      </c>
      <c r="B131" s="30" t="s">
        <v>1145</v>
      </c>
      <c r="C131" s="30" t="s">
        <v>1146</v>
      </c>
      <c r="D131" s="30" t="s">
        <v>1140</v>
      </c>
      <c r="E131" s="35" t="s">
        <v>568</v>
      </c>
      <c r="F131" s="9" t="s">
        <v>1147</v>
      </c>
      <c r="G131" s="10" t="s">
        <v>435</v>
      </c>
      <c r="H131" s="30" t="s">
        <v>1148</v>
      </c>
      <c r="I131" s="30" t="s">
        <v>1149</v>
      </c>
      <c r="J131" s="10" t="s">
        <v>438</v>
      </c>
      <c r="K131" s="10" t="s">
        <v>439</v>
      </c>
      <c r="L131" s="10" t="s">
        <v>439</v>
      </c>
    </row>
    <row r="132" spans="1:12" ht="58" x14ac:dyDescent="0.35">
      <c r="A132" s="30" t="s">
        <v>1150</v>
      </c>
      <c r="B132" s="30" t="s">
        <v>573</v>
      </c>
      <c r="C132" s="30" t="s">
        <v>1151</v>
      </c>
      <c r="D132" s="30" t="s">
        <v>1140</v>
      </c>
      <c r="E132" s="35" t="s">
        <v>1152</v>
      </c>
      <c r="F132" s="9" t="s">
        <v>554</v>
      </c>
      <c r="G132" s="10" t="s">
        <v>484</v>
      </c>
      <c r="H132" s="30" t="s">
        <v>1153</v>
      </c>
      <c r="I132" s="30" t="s">
        <v>1153</v>
      </c>
      <c r="J132" s="10" t="s">
        <v>438</v>
      </c>
      <c r="K132" s="10" t="s">
        <v>439</v>
      </c>
      <c r="L132" s="10" t="s">
        <v>439</v>
      </c>
    </row>
    <row r="133" spans="1:12" ht="58" x14ac:dyDescent="0.35">
      <c r="A133" s="30" t="s">
        <v>1154</v>
      </c>
      <c r="B133" s="30" t="s">
        <v>1155</v>
      </c>
      <c r="C133" s="30" t="s">
        <v>1156</v>
      </c>
      <c r="D133" s="30" t="s">
        <v>1140</v>
      </c>
      <c r="E133" s="35" t="s">
        <v>1157</v>
      </c>
      <c r="F133" s="9" t="s">
        <v>1158</v>
      </c>
      <c r="G133" s="10" t="s">
        <v>435</v>
      </c>
      <c r="H133" s="30" t="s">
        <v>1159</v>
      </c>
      <c r="I133" s="30" t="s">
        <v>1160</v>
      </c>
      <c r="J133" s="10" t="s">
        <v>438</v>
      </c>
      <c r="K133" s="10" t="s">
        <v>439</v>
      </c>
      <c r="L133" s="10" t="s">
        <v>439</v>
      </c>
    </row>
    <row r="134" spans="1:12" ht="58" x14ac:dyDescent="0.35">
      <c r="A134" s="30" t="s">
        <v>1161</v>
      </c>
      <c r="B134" s="30" t="s">
        <v>508</v>
      </c>
      <c r="C134" s="30" t="s">
        <v>578</v>
      </c>
      <c r="D134" s="30" t="s">
        <v>1140</v>
      </c>
      <c r="E134" s="35" t="s">
        <v>579</v>
      </c>
      <c r="F134" s="9" t="s">
        <v>1141</v>
      </c>
      <c r="G134" s="10" t="s">
        <v>484</v>
      </c>
      <c r="H134" s="30" t="s">
        <v>1162</v>
      </c>
      <c r="I134" s="30" t="s">
        <v>1162</v>
      </c>
      <c r="J134" s="10" t="s">
        <v>438</v>
      </c>
      <c r="K134" s="10" t="s">
        <v>439</v>
      </c>
      <c r="L134" s="10" t="s">
        <v>439</v>
      </c>
    </row>
    <row r="135" spans="1:12" ht="58" x14ac:dyDescent="0.35">
      <c r="A135" s="30" t="s">
        <v>1163</v>
      </c>
      <c r="B135" s="30" t="s">
        <v>1164</v>
      </c>
      <c r="C135" s="30" t="s">
        <v>1165</v>
      </c>
      <c r="D135" s="30" t="s">
        <v>1140</v>
      </c>
      <c r="E135" s="35" t="s">
        <v>568</v>
      </c>
      <c r="F135" s="9" t="s">
        <v>1166</v>
      </c>
      <c r="G135" s="10" t="s">
        <v>484</v>
      </c>
      <c r="H135" s="30" t="s">
        <v>1167</v>
      </c>
      <c r="I135" s="30" t="s">
        <v>1168</v>
      </c>
      <c r="J135" s="10" t="s">
        <v>438</v>
      </c>
      <c r="K135" s="10" t="s">
        <v>439</v>
      </c>
      <c r="L135" s="10" t="s">
        <v>439</v>
      </c>
    </row>
    <row r="136" spans="1:12" ht="43.5" x14ac:dyDescent="0.35">
      <c r="A136" s="30" t="s">
        <v>1169</v>
      </c>
      <c r="B136" s="30" t="s">
        <v>1170</v>
      </c>
      <c r="C136" s="30" t="s">
        <v>1171</v>
      </c>
      <c r="D136" s="30" t="s">
        <v>1172</v>
      </c>
      <c r="E136" s="35" t="s">
        <v>1173</v>
      </c>
      <c r="F136" s="9" t="s">
        <v>1174</v>
      </c>
      <c r="G136" s="10" t="s">
        <v>435</v>
      </c>
      <c r="H136" s="30" t="s">
        <v>1175</v>
      </c>
      <c r="I136" s="30" t="s">
        <v>1176</v>
      </c>
      <c r="J136" s="10" t="s">
        <v>470</v>
      </c>
      <c r="K136" s="10" t="s">
        <v>439</v>
      </c>
      <c r="L136" s="10" t="s">
        <v>439</v>
      </c>
    </row>
    <row r="137" spans="1:12" ht="58" x14ac:dyDescent="0.35">
      <c r="A137" s="30" t="s">
        <v>1177</v>
      </c>
      <c r="B137" s="30" t="s">
        <v>1178</v>
      </c>
      <c r="C137" s="30" t="s">
        <v>876</v>
      </c>
      <c r="D137" s="30" t="s">
        <v>1140</v>
      </c>
      <c r="E137" s="35" t="s">
        <v>568</v>
      </c>
      <c r="F137" s="9" t="s">
        <v>1179</v>
      </c>
      <c r="G137" s="10" t="s">
        <v>435</v>
      </c>
      <c r="H137" s="30" t="s">
        <v>880</v>
      </c>
      <c r="I137" s="30" t="s">
        <v>880</v>
      </c>
      <c r="J137" s="10" t="s">
        <v>438</v>
      </c>
      <c r="K137" s="10" t="s">
        <v>439</v>
      </c>
      <c r="L137" s="10" t="s">
        <v>439</v>
      </c>
    </row>
    <row r="138" spans="1:12" ht="72.5" x14ac:dyDescent="0.35">
      <c r="A138" s="30" t="s">
        <v>1180</v>
      </c>
      <c r="B138" s="30" t="s">
        <v>1181</v>
      </c>
      <c r="C138" s="30" t="s">
        <v>737</v>
      </c>
      <c r="D138" s="30" t="s">
        <v>1140</v>
      </c>
      <c r="E138" s="35" t="s">
        <v>1182</v>
      </c>
      <c r="F138" s="9" t="s">
        <v>1183</v>
      </c>
      <c r="G138" s="10" t="s">
        <v>435</v>
      </c>
      <c r="H138" s="30" t="s">
        <v>885</v>
      </c>
      <c r="I138" s="30" t="s">
        <v>885</v>
      </c>
      <c r="J138" s="10" t="s">
        <v>438</v>
      </c>
      <c r="K138" s="10" t="s">
        <v>439</v>
      </c>
      <c r="L138" s="10" t="s">
        <v>439</v>
      </c>
    </row>
    <row r="139" spans="1:12" ht="87" x14ac:dyDescent="0.35">
      <c r="A139" s="30" t="s">
        <v>1184</v>
      </c>
      <c r="B139" s="30" t="s">
        <v>1104</v>
      </c>
      <c r="C139" s="30" t="s">
        <v>1105</v>
      </c>
      <c r="D139" s="30" t="s">
        <v>1140</v>
      </c>
      <c r="E139" s="35" t="s">
        <v>1182</v>
      </c>
      <c r="F139" s="9" t="s">
        <v>1185</v>
      </c>
      <c r="G139" s="10" t="s">
        <v>538</v>
      </c>
      <c r="H139" s="30" t="s">
        <v>1186</v>
      </c>
      <c r="I139" s="30" t="s">
        <v>1186</v>
      </c>
      <c r="J139" s="10" t="s">
        <v>438</v>
      </c>
      <c r="K139" s="10" t="s">
        <v>439</v>
      </c>
      <c r="L139" s="10" t="s">
        <v>439</v>
      </c>
    </row>
    <row r="140" spans="1:12" ht="58" x14ac:dyDescent="0.35">
      <c r="A140" s="30" t="s">
        <v>1187</v>
      </c>
      <c r="B140" s="30" t="s">
        <v>1188</v>
      </c>
      <c r="C140" s="30" t="s">
        <v>894</v>
      </c>
      <c r="D140" s="30" t="s">
        <v>1140</v>
      </c>
      <c r="E140" s="35" t="s">
        <v>568</v>
      </c>
      <c r="F140" s="9" t="s">
        <v>1189</v>
      </c>
      <c r="G140" s="10" t="s">
        <v>435</v>
      </c>
      <c r="H140" s="30" t="s">
        <v>897</v>
      </c>
      <c r="I140" s="30" t="s">
        <v>897</v>
      </c>
      <c r="J140" s="10" t="s">
        <v>438</v>
      </c>
      <c r="K140" s="10" t="s">
        <v>439</v>
      </c>
      <c r="L140" s="10" t="s">
        <v>439</v>
      </c>
    </row>
    <row r="141" spans="1:12" ht="58" x14ac:dyDescent="0.35">
      <c r="A141" s="30" t="s">
        <v>207</v>
      </c>
      <c r="B141" s="30" t="s">
        <v>1190</v>
      </c>
      <c r="C141" s="30" t="s">
        <v>1191</v>
      </c>
      <c r="D141" s="30" t="s">
        <v>1192</v>
      </c>
      <c r="E141" s="35" t="s">
        <v>568</v>
      </c>
      <c r="F141" s="9" t="s">
        <v>1193</v>
      </c>
      <c r="G141" s="10" t="s">
        <v>435</v>
      </c>
      <c r="H141" s="30" t="s">
        <v>1194</v>
      </c>
      <c r="I141" s="30" t="s">
        <v>1195</v>
      </c>
      <c r="J141" s="10" t="s">
        <v>678</v>
      </c>
      <c r="K141" s="10" t="s">
        <v>439</v>
      </c>
      <c r="L141" s="10" t="s">
        <v>439</v>
      </c>
    </row>
    <row r="142" spans="1:12" ht="58" x14ac:dyDescent="0.35">
      <c r="A142" s="30" t="s">
        <v>1196</v>
      </c>
      <c r="B142" s="30" t="s">
        <v>1197</v>
      </c>
      <c r="C142" s="30" t="s">
        <v>1198</v>
      </c>
      <c r="D142" s="30" t="s">
        <v>1140</v>
      </c>
      <c r="E142" s="35" t="s">
        <v>568</v>
      </c>
      <c r="F142" s="9" t="s">
        <v>1199</v>
      </c>
      <c r="G142" s="10" t="s">
        <v>538</v>
      </c>
      <c r="H142" s="30" t="s">
        <v>1200</v>
      </c>
      <c r="I142" s="30" t="s">
        <v>1201</v>
      </c>
      <c r="J142" s="10" t="s">
        <v>470</v>
      </c>
      <c r="K142" s="10" t="s">
        <v>439</v>
      </c>
      <c r="L142" s="10" t="s">
        <v>439</v>
      </c>
    </row>
    <row r="143" spans="1:12" ht="58" x14ac:dyDescent="0.35">
      <c r="A143" s="30" t="s">
        <v>211</v>
      </c>
      <c r="B143" s="30" t="s">
        <v>1202</v>
      </c>
      <c r="C143" s="30" t="s">
        <v>1203</v>
      </c>
      <c r="D143" s="30" t="s">
        <v>1140</v>
      </c>
      <c r="E143" s="35" t="s">
        <v>568</v>
      </c>
      <c r="F143" s="9" t="s">
        <v>1204</v>
      </c>
      <c r="G143" s="10" t="s">
        <v>435</v>
      </c>
      <c r="H143" s="30" t="s">
        <v>1205</v>
      </c>
      <c r="I143" s="30" t="s">
        <v>1206</v>
      </c>
      <c r="J143" s="10" t="s">
        <v>678</v>
      </c>
      <c r="K143" s="10" t="s">
        <v>439</v>
      </c>
      <c r="L143" s="10" t="s">
        <v>439</v>
      </c>
    </row>
    <row r="144" spans="1:12" ht="58" x14ac:dyDescent="0.35">
      <c r="A144" s="30" t="s">
        <v>1207</v>
      </c>
      <c r="B144" s="30" t="s">
        <v>1208</v>
      </c>
      <c r="C144" s="30" t="s">
        <v>1209</v>
      </c>
      <c r="D144" s="30" t="s">
        <v>1140</v>
      </c>
      <c r="E144" s="35" t="s">
        <v>568</v>
      </c>
      <c r="F144" s="9" t="s">
        <v>1210</v>
      </c>
      <c r="G144" s="10" t="s">
        <v>435</v>
      </c>
      <c r="H144" s="30" t="s">
        <v>1211</v>
      </c>
      <c r="I144" s="30" t="s">
        <v>1211</v>
      </c>
      <c r="J144" s="10" t="s">
        <v>438</v>
      </c>
      <c r="K144" s="10" t="s">
        <v>439</v>
      </c>
      <c r="L144" s="10" t="s">
        <v>439</v>
      </c>
    </row>
    <row r="145" spans="1:12" ht="87" x14ac:dyDescent="0.35">
      <c r="A145" s="30" t="s">
        <v>1212</v>
      </c>
      <c r="B145" s="30" t="s">
        <v>1213</v>
      </c>
      <c r="C145" s="30" t="s">
        <v>737</v>
      </c>
      <c r="D145" s="30" t="s">
        <v>1140</v>
      </c>
      <c r="E145" s="35" t="s">
        <v>1182</v>
      </c>
      <c r="F145" s="9" t="s">
        <v>1214</v>
      </c>
      <c r="G145" s="10" t="s">
        <v>435</v>
      </c>
      <c r="H145" s="30" t="s">
        <v>1215</v>
      </c>
      <c r="I145" s="30" t="s">
        <v>1215</v>
      </c>
      <c r="J145" s="10" t="s">
        <v>438</v>
      </c>
      <c r="K145" s="10" t="s">
        <v>439</v>
      </c>
      <c r="L145" s="10" t="s">
        <v>439</v>
      </c>
    </row>
    <row r="146" spans="1:12" ht="58" x14ac:dyDescent="0.35">
      <c r="A146" s="30" t="s">
        <v>1216</v>
      </c>
      <c r="B146" s="30" t="s">
        <v>1217</v>
      </c>
      <c r="C146" s="30" t="s">
        <v>1218</v>
      </c>
      <c r="D146" s="30" t="s">
        <v>1140</v>
      </c>
      <c r="E146" s="35" t="s">
        <v>568</v>
      </c>
      <c r="F146" s="9" t="s">
        <v>1219</v>
      </c>
      <c r="G146" s="10" t="s">
        <v>435</v>
      </c>
      <c r="H146" s="30" t="s">
        <v>1220</v>
      </c>
      <c r="I146" s="30" t="s">
        <v>1220</v>
      </c>
      <c r="J146" s="10" t="s">
        <v>438</v>
      </c>
      <c r="K146" s="10" t="s">
        <v>439</v>
      </c>
      <c r="L146" s="10" t="s">
        <v>439</v>
      </c>
    </row>
    <row r="147" spans="1:12" ht="58" x14ac:dyDescent="0.35">
      <c r="A147" s="30" t="s">
        <v>1221</v>
      </c>
      <c r="B147" s="30" t="s">
        <v>1222</v>
      </c>
      <c r="C147" s="30" t="s">
        <v>1223</v>
      </c>
      <c r="D147" s="30" t="s">
        <v>1140</v>
      </c>
      <c r="E147" s="35" t="s">
        <v>568</v>
      </c>
      <c r="F147" s="9" t="s">
        <v>1224</v>
      </c>
      <c r="G147" s="10" t="s">
        <v>435</v>
      </c>
      <c r="H147" s="30" t="s">
        <v>1225</v>
      </c>
      <c r="I147" s="30" t="s">
        <v>1226</v>
      </c>
      <c r="J147" s="10" t="s">
        <v>438</v>
      </c>
      <c r="K147" s="10" t="s">
        <v>439</v>
      </c>
      <c r="L147" s="10" t="s">
        <v>439</v>
      </c>
    </row>
    <row r="148" spans="1:12" ht="58" x14ac:dyDescent="0.35">
      <c r="A148" s="30" t="s">
        <v>1227</v>
      </c>
      <c r="B148" s="30" t="s">
        <v>1228</v>
      </c>
      <c r="C148" s="30" t="s">
        <v>1229</v>
      </c>
      <c r="D148" s="30" t="s">
        <v>1140</v>
      </c>
      <c r="E148" s="35" t="s">
        <v>568</v>
      </c>
      <c r="F148" s="9" t="s">
        <v>1230</v>
      </c>
      <c r="G148" s="10" t="s">
        <v>484</v>
      </c>
      <c r="H148" s="30" t="s">
        <v>1231</v>
      </c>
      <c r="I148" s="30" t="s">
        <v>1232</v>
      </c>
      <c r="J148" s="10" t="s">
        <v>438</v>
      </c>
      <c r="K148" s="10" t="s">
        <v>439</v>
      </c>
      <c r="L148" s="10" t="s">
        <v>439</v>
      </c>
    </row>
    <row r="149" spans="1:12" ht="58" x14ac:dyDescent="0.35">
      <c r="A149" s="30" t="s">
        <v>1233</v>
      </c>
      <c r="B149" s="30" t="s">
        <v>1234</v>
      </c>
      <c r="C149" s="30" t="s">
        <v>1235</v>
      </c>
      <c r="D149" s="30" t="s">
        <v>1140</v>
      </c>
      <c r="E149" s="35" t="s">
        <v>568</v>
      </c>
      <c r="F149" s="9" t="s">
        <v>1236</v>
      </c>
      <c r="G149" s="10" t="s">
        <v>484</v>
      </c>
      <c r="H149" s="30" t="s">
        <v>1220</v>
      </c>
      <c r="I149" s="30" t="s">
        <v>1220</v>
      </c>
      <c r="J149" s="10" t="s">
        <v>438</v>
      </c>
      <c r="K149" s="10" t="s">
        <v>439</v>
      </c>
      <c r="L149" s="10" t="s">
        <v>439</v>
      </c>
    </row>
    <row r="150" spans="1:12" ht="58" x14ac:dyDescent="0.35">
      <c r="A150" s="30" t="s">
        <v>1237</v>
      </c>
      <c r="B150" s="30" t="s">
        <v>1238</v>
      </c>
      <c r="C150" s="30" t="s">
        <v>1239</v>
      </c>
      <c r="D150" s="30" t="s">
        <v>1140</v>
      </c>
      <c r="E150" s="35" t="s">
        <v>568</v>
      </c>
      <c r="F150" s="9" t="s">
        <v>1240</v>
      </c>
      <c r="G150" s="10" t="s">
        <v>435</v>
      </c>
      <c r="H150" s="30" t="s">
        <v>1241</v>
      </c>
      <c r="I150" s="30" t="s">
        <v>1220</v>
      </c>
      <c r="J150" s="10" t="s">
        <v>438</v>
      </c>
      <c r="K150" s="10" t="s">
        <v>439</v>
      </c>
      <c r="L150" s="10" t="s">
        <v>439</v>
      </c>
    </row>
    <row r="151" spans="1:12" ht="58" x14ac:dyDescent="0.35">
      <c r="A151" s="30" t="s">
        <v>1242</v>
      </c>
      <c r="B151" s="30" t="s">
        <v>1243</v>
      </c>
      <c r="C151" s="30" t="s">
        <v>1244</v>
      </c>
      <c r="D151" s="30" t="s">
        <v>1140</v>
      </c>
      <c r="E151" s="35" t="s">
        <v>568</v>
      </c>
      <c r="F151" s="9" t="s">
        <v>1245</v>
      </c>
      <c r="G151" s="10" t="s">
        <v>484</v>
      </c>
      <c r="H151" s="30" t="s">
        <v>1246</v>
      </c>
      <c r="I151" s="30" t="s">
        <v>1247</v>
      </c>
      <c r="J151" s="10" t="s">
        <v>470</v>
      </c>
      <c r="K151" s="10" t="s">
        <v>439</v>
      </c>
      <c r="L151" s="10" t="s">
        <v>439</v>
      </c>
    </row>
    <row r="152" spans="1:12" ht="58" x14ac:dyDescent="0.35">
      <c r="A152" s="30" t="s">
        <v>1248</v>
      </c>
      <c r="B152" s="30" t="s">
        <v>1249</v>
      </c>
      <c r="C152" s="30" t="s">
        <v>1250</v>
      </c>
      <c r="D152" s="30" t="s">
        <v>1140</v>
      </c>
      <c r="E152" s="35" t="s">
        <v>568</v>
      </c>
      <c r="F152" s="9" t="s">
        <v>1251</v>
      </c>
      <c r="G152" s="10" t="s">
        <v>538</v>
      </c>
      <c r="H152" s="30" t="s">
        <v>1252</v>
      </c>
      <c r="I152" s="30" t="s">
        <v>1253</v>
      </c>
      <c r="J152" s="10" t="s">
        <v>438</v>
      </c>
      <c r="K152" s="10" t="s">
        <v>439</v>
      </c>
      <c r="L152" s="10" t="s">
        <v>439</v>
      </c>
    </row>
    <row r="153" spans="1:12" ht="58" x14ac:dyDescent="0.35">
      <c r="A153" s="30" t="s">
        <v>1254</v>
      </c>
      <c r="B153" s="30" t="s">
        <v>1255</v>
      </c>
      <c r="C153" s="30" t="s">
        <v>1256</v>
      </c>
      <c r="D153" s="30" t="s">
        <v>1140</v>
      </c>
      <c r="E153" s="35" t="s">
        <v>568</v>
      </c>
      <c r="F153" s="9" t="s">
        <v>1257</v>
      </c>
      <c r="G153" s="10" t="s">
        <v>538</v>
      </c>
      <c r="H153" s="30" t="s">
        <v>1258</v>
      </c>
      <c r="I153" s="30" t="s">
        <v>1259</v>
      </c>
      <c r="J153" s="10" t="s">
        <v>438</v>
      </c>
      <c r="K153" s="10" t="s">
        <v>439</v>
      </c>
      <c r="L153" s="10" t="s">
        <v>439</v>
      </c>
    </row>
    <row r="154" spans="1:12" ht="58" x14ac:dyDescent="0.35">
      <c r="A154" s="30" t="s">
        <v>1260</v>
      </c>
      <c r="B154" s="30" t="s">
        <v>1261</v>
      </c>
      <c r="C154" s="30" t="s">
        <v>1262</v>
      </c>
      <c r="D154" s="30" t="s">
        <v>1140</v>
      </c>
      <c r="E154" s="35" t="s">
        <v>568</v>
      </c>
      <c r="F154" s="9" t="s">
        <v>1263</v>
      </c>
      <c r="G154" s="10" t="s">
        <v>484</v>
      </c>
      <c r="H154" s="30" t="s">
        <v>1264</v>
      </c>
      <c r="I154" s="30" t="s">
        <v>1265</v>
      </c>
      <c r="J154" s="10" t="s">
        <v>470</v>
      </c>
      <c r="K154" s="10" t="s">
        <v>439</v>
      </c>
      <c r="L154" s="10" t="s">
        <v>439</v>
      </c>
    </row>
    <row r="155" spans="1:12" ht="58" x14ac:dyDescent="0.35">
      <c r="A155" s="30" t="s">
        <v>1266</v>
      </c>
      <c r="B155" s="30" t="s">
        <v>830</v>
      </c>
      <c r="C155" s="30" t="s">
        <v>831</v>
      </c>
      <c r="D155" s="30" t="s">
        <v>1140</v>
      </c>
      <c r="E155" s="35" t="s">
        <v>832</v>
      </c>
      <c r="F155" s="9" t="s">
        <v>1267</v>
      </c>
      <c r="G155" s="10" t="s">
        <v>435</v>
      </c>
      <c r="H155" s="30" t="s">
        <v>1268</v>
      </c>
      <c r="I155" s="30" t="s">
        <v>1268</v>
      </c>
      <c r="J155" s="10" t="s">
        <v>438</v>
      </c>
      <c r="K155" s="10" t="s">
        <v>439</v>
      </c>
      <c r="L155" s="10" t="s">
        <v>439</v>
      </c>
    </row>
    <row r="156" spans="1:12" ht="58" x14ac:dyDescent="0.35">
      <c r="A156" s="30" t="s">
        <v>1269</v>
      </c>
      <c r="B156" s="30" t="s">
        <v>836</v>
      </c>
      <c r="C156" s="30" t="s">
        <v>837</v>
      </c>
      <c r="D156" s="30" t="s">
        <v>1140</v>
      </c>
      <c r="E156" s="35" t="s">
        <v>568</v>
      </c>
      <c r="F156" s="9" t="s">
        <v>1270</v>
      </c>
      <c r="G156" s="10" t="s">
        <v>484</v>
      </c>
      <c r="H156" s="30" t="s">
        <v>1271</v>
      </c>
      <c r="I156" s="30" t="s">
        <v>1271</v>
      </c>
      <c r="J156" s="10" t="s">
        <v>438</v>
      </c>
      <c r="K156" s="10" t="s">
        <v>439</v>
      </c>
      <c r="L156" s="10" t="s">
        <v>439</v>
      </c>
    </row>
    <row r="157" spans="1:12" ht="58" x14ac:dyDescent="0.35">
      <c r="A157" s="30" t="s">
        <v>1272</v>
      </c>
      <c r="B157" s="30" t="s">
        <v>1273</v>
      </c>
      <c r="C157" s="30" t="s">
        <v>847</v>
      </c>
      <c r="D157" s="30" t="s">
        <v>1140</v>
      </c>
      <c r="E157" s="35" t="s">
        <v>568</v>
      </c>
      <c r="F157" s="9" t="s">
        <v>1274</v>
      </c>
      <c r="G157" s="10" t="s">
        <v>484</v>
      </c>
      <c r="H157" s="30" t="s">
        <v>1275</v>
      </c>
      <c r="I157" s="30" t="s">
        <v>1275</v>
      </c>
      <c r="J157" s="10" t="s">
        <v>438</v>
      </c>
      <c r="K157" s="10" t="s">
        <v>439</v>
      </c>
      <c r="L157" s="10" t="s">
        <v>439</v>
      </c>
    </row>
    <row r="158" spans="1:12" ht="58" x14ac:dyDescent="0.35">
      <c r="A158" s="30" t="s">
        <v>1276</v>
      </c>
      <c r="B158" s="30" t="s">
        <v>851</v>
      </c>
      <c r="C158" s="30" t="s">
        <v>1277</v>
      </c>
      <c r="D158" s="30" t="s">
        <v>1140</v>
      </c>
      <c r="E158" s="35" t="s">
        <v>853</v>
      </c>
      <c r="F158" s="9" t="s">
        <v>1141</v>
      </c>
      <c r="G158" s="10" t="s">
        <v>484</v>
      </c>
      <c r="H158" s="30" t="s">
        <v>1278</v>
      </c>
      <c r="I158" s="30" t="s">
        <v>1279</v>
      </c>
      <c r="J158" s="10" t="s">
        <v>438</v>
      </c>
      <c r="K158" s="10" t="s">
        <v>439</v>
      </c>
      <c r="L158" s="10" t="s">
        <v>439</v>
      </c>
    </row>
    <row r="159" spans="1:12" s="29" customFormat="1" ht="26" x14ac:dyDescent="0.35">
      <c r="A159" s="31"/>
      <c r="B159" s="33" t="s">
        <v>2326</v>
      </c>
      <c r="C159" s="31"/>
      <c r="D159" s="31"/>
      <c r="E159" s="36"/>
      <c r="F159" s="28"/>
      <c r="G159" s="27"/>
      <c r="H159" s="31"/>
      <c r="I159" s="31"/>
      <c r="J159" s="27"/>
      <c r="K159" s="27"/>
      <c r="L159" s="27"/>
    </row>
    <row r="160" spans="1:12" ht="58" x14ac:dyDescent="0.35">
      <c r="A160" s="30" t="s">
        <v>221</v>
      </c>
      <c r="B160" s="30" t="s">
        <v>1280</v>
      </c>
      <c r="C160" s="30" t="s">
        <v>1281</v>
      </c>
      <c r="D160" s="30" t="s">
        <v>1282</v>
      </c>
      <c r="E160" s="35" t="s">
        <v>1283</v>
      </c>
      <c r="F160" s="9" t="s">
        <v>1284</v>
      </c>
      <c r="G160" s="10" t="s">
        <v>435</v>
      </c>
      <c r="H160" s="30" t="s">
        <v>1285</v>
      </c>
      <c r="I160" s="30" t="s">
        <v>1286</v>
      </c>
      <c r="J160" s="10" t="s">
        <v>470</v>
      </c>
      <c r="K160" s="10" t="s">
        <v>439</v>
      </c>
      <c r="L160" s="10" t="s">
        <v>439</v>
      </c>
    </row>
    <row r="161" spans="1:12" ht="58" x14ac:dyDescent="0.35">
      <c r="A161" s="30" t="s">
        <v>1287</v>
      </c>
      <c r="B161" s="30" t="s">
        <v>863</v>
      </c>
      <c r="C161" s="30" t="s">
        <v>1288</v>
      </c>
      <c r="D161" s="30" t="s">
        <v>1282</v>
      </c>
      <c r="E161" s="35" t="s">
        <v>1289</v>
      </c>
      <c r="F161" s="9" t="s">
        <v>1290</v>
      </c>
      <c r="G161" s="10" t="s">
        <v>435</v>
      </c>
      <c r="H161" s="30" t="s">
        <v>1291</v>
      </c>
      <c r="I161" s="30" t="s">
        <v>1292</v>
      </c>
      <c r="J161" s="10" t="s">
        <v>678</v>
      </c>
      <c r="K161" s="10" t="s">
        <v>439</v>
      </c>
      <c r="L161" s="10" t="s">
        <v>439</v>
      </c>
    </row>
    <row r="162" spans="1:12" ht="58" x14ac:dyDescent="0.35">
      <c r="A162" s="30" t="s">
        <v>1293</v>
      </c>
      <c r="B162" s="30" t="s">
        <v>1294</v>
      </c>
      <c r="C162" s="30" t="s">
        <v>1295</v>
      </c>
      <c r="D162" s="30" t="s">
        <v>1282</v>
      </c>
      <c r="E162" s="35" t="s">
        <v>1296</v>
      </c>
      <c r="F162" s="9" t="s">
        <v>1290</v>
      </c>
      <c r="G162" s="10" t="s">
        <v>484</v>
      </c>
      <c r="H162" s="30" t="s">
        <v>1297</v>
      </c>
      <c r="I162" s="30" t="s">
        <v>1292</v>
      </c>
      <c r="J162" s="10" t="s">
        <v>678</v>
      </c>
      <c r="K162" s="10" t="s">
        <v>439</v>
      </c>
      <c r="L162" s="10" t="s">
        <v>439</v>
      </c>
    </row>
    <row r="163" spans="1:12" ht="72.5" x14ac:dyDescent="0.35">
      <c r="A163" s="30" t="s">
        <v>1298</v>
      </c>
      <c r="B163" s="30" t="s">
        <v>1299</v>
      </c>
      <c r="C163" s="30" t="s">
        <v>1300</v>
      </c>
      <c r="D163" s="30" t="s">
        <v>1282</v>
      </c>
      <c r="E163" s="35" t="s">
        <v>1301</v>
      </c>
      <c r="F163" s="9" t="s">
        <v>1302</v>
      </c>
      <c r="G163" s="10" t="s">
        <v>435</v>
      </c>
      <c r="H163" s="30" t="s">
        <v>1303</v>
      </c>
      <c r="I163" s="30" t="s">
        <v>1292</v>
      </c>
      <c r="J163" s="10" t="s">
        <v>678</v>
      </c>
      <c r="K163" s="10" t="s">
        <v>439</v>
      </c>
      <c r="L163" s="10" t="s">
        <v>439</v>
      </c>
    </row>
    <row r="164" spans="1:12" ht="58" x14ac:dyDescent="0.35">
      <c r="A164" s="30" t="s">
        <v>1304</v>
      </c>
      <c r="B164" s="30" t="s">
        <v>1305</v>
      </c>
      <c r="C164" s="30" t="s">
        <v>1306</v>
      </c>
      <c r="D164" s="30" t="s">
        <v>1307</v>
      </c>
      <c r="E164" s="35" t="s">
        <v>1308</v>
      </c>
      <c r="F164" s="9" t="s">
        <v>1309</v>
      </c>
      <c r="G164" s="10" t="s">
        <v>484</v>
      </c>
      <c r="H164" s="30" t="s">
        <v>1310</v>
      </c>
      <c r="I164" s="30" t="s">
        <v>1292</v>
      </c>
      <c r="J164" s="10" t="s">
        <v>678</v>
      </c>
      <c r="K164" s="10" t="s">
        <v>439</v>
      </c>
      <c r="L164" s="10" t="s">
        <v>439</v>
      </c>
    </row>
    <row r="165" spans="1:12" ht="58" x14ac:dyDescent="0.35">
      <c r="A165" s="30" t="s">
        <v>1311</v>
      </c>
      <c r="B165" s="30" t="s">
        <v>1312</v>
      </c>
      <c r="C165" s="30" t="s">
        <v>1313</v>
      </c>
      <c r="D165" s="30" t="s">
        <v>1282</v>
      </c>
      <c r="E165" s="35" t="s">
        <v>1308</v>
      </c>
      <c r="F165" s="9" t="s">
        <v>1314</v>
      </c>
      <c r="G165" s="10" t="s">
        <v>538</v>
      </c>
      <c r="H165" s="30" t="s">
        <v>934</v>
      </c>
      <c r="I165" s="30" t="s">
        <v>1292</v>
      </c>
      <c r="J165" s="10" t="s">
        <v>678</v>
      </c>
      <c r="K165" s="10" t="s">
        <v>439</v>
      </c>
      <c r="L165" s="10" t="s">
        <v>439</v>
      </c>
    </row>
    <row r="166" spans="1:12" ht="58" x14ac:dyDescent="0.35">
      <c r="A166" s="30" t="s">
        <v>1315</v>
      </c>
      <c r="B166" s="30" t="s">
        <v>1316</v>
      </c>
      <c r="C166" s="30" t="s">
        <v>1317</v>
      </c>
      <c r="D166" s="30" t="s">
        <v>1282</v>
      </c>
      <c r="E166" s="35" t="s">
        <v>1318</v>
      </c>
      <c r="F166" s="9" t="s">
        <v>1319</v>
      </c>
      <c r="G166" s="10" t="s">
        <v>435</v>
      </c>
      <c r="H166" s="30" t="s">
        <v>1320</v>
      </c>
      <c r="I166" s="30" t="s">
        <v>1292</v>
      </c>
      <c r="J166" s="10" t="s">
        <v>678</v>
      </c>
      <c r="K166" s="10" t="s">
        <v>439</v>
      </c>
      <c r="L166" s="10" t="s">
        <v>439</v>
      </c>
    </row>
    <row r="167" spans="1:12" ht="58" x14ac:dyDescent="0.35">
      <c r="A167" s="30" t="s">
        <v>1321</v>
      </c>
      <c r="B167" s="30" t="s">
        <v>1322</v>
      </c>
      <c r="C167" s="30" t="s">
        <v>1323</v>
      </c>
      <c r="D167" s="30" t="s">
        <v>1282</v>
      </c>
      <c r="E167" s="35" t="s">
        <v>1308</v>
      </c>
      <c r="F167" s="9" t="s">
        <v>1324</v>
      </c>
      <c r="G167" s="10" t="s">
        <v>484</v>
      </c>
      <c r="H167" s="30" t="s">
        <v>1325</v>
      </c>
      <c r="I167" s="30" t="s">
        <v>1292</v>
      </c>
      <c r="J167" s="10" t="s">
        <v>678</v>
      </c>
      <c r="K167" s="10" t="s">
        <v>439</v>
      </c>
      <c r="L167" s="10" t="s">
        <v>439</v>
      </c>
    </row>
    <row r="168" spans="1:12" ht="58" x14ac:dyDescent="0.35">
      <c r="A168" s="30" t="s">
        <v>1326</v>
      </c>
      <c r="B168" s="30" t="s">
        <v>1327</v>
      </c>
      <c r="C168" s="30" t="s">
        <v>1328</v>
      </c>
      <c r="D168" s="30" t="s">
        <v>1282</v>
      </c>
      <c r="E168" s="35" t="s">
        <v>1329</v>
      </c>
      <c r="F168" s="9" t="s">
        <v>1330</v>
      </c>
      <c r="G168" s="10" t="s">
        <v>435</v>
      </c>
      <c r="H168" s="30" t="s">
        <v>1331</v>
      </c>
      <c r="I168" s="30" t="s">
        <v>1331</v>
      </c>
      <c r="J168" s="10" t="s">
        <v>438</v>
      </c>
      <c r="K168" s="10" t="s">
        <v>439</v>
      </c>
      <c r="L168" s="10" t="s">
        <v>439</v>
      </c>
    </row>
    <row r="169" spans="1:12" ht="58" x14ac:dyDescent="0.35">
      <c r="A169" s="30" t="s">
        <v>1332</v>
      </c>
      <c r="B169" s="30" t="s">
        <v>1333</v>
      </c>
      <c r="C169" s="30" t="s">
        <v>737</v>
      </c>
      <c r="D169" s="30" t="s">
        <v>1282</v>
      </c>
      <c r="E169" s="35" t="s">
        <v>1182</v>
      </c>
      <c r="F169" s="9" t="s">
        <v>1334</v>
      </c>
      <c r="G169" s="10" t="s">
        <v>435</v>
      </c>
      <c r="H169" s="30" t="s">
        <v>1335</v>
      </c>
      <c r="I169" s="30" t="s">
        <v>1292</v>
      </c>
      <c r="J169" s="10" t="s">
        <v>678</v>
      </c>
      <c r="K169" s="10" t="s">
        <v>439</v>
      </c>
      <c r="L169" s="10" t="s">
        <v>439</v>
      </c>
    </row>
    <row r="170" spans="1:12" ht="58" x14ac:dyDescent="0.35">
      <c r="A170" s="30" t="s">
        <v>1336</v>
      </c>
      <c r="B170" s="30" t="s">
        <v>1337</v>
      </c>
      <c r="C170" s="30" t="s">
        <v>1105</v>
      </c>
      <c r="D170" s="30" t="s">
        <v>1282</v>
      </c>
      <c r="E170" s="35" t="s">
        <v>1182</v>
      </c>
      <c r="F170" s="9" t="s">
        <v>1338</v>
      </c>
      <c r="G170" s="10" t="s">
        <v>538</v>
      </c>
      <c r="H170" s="30" t="s">
        <v>1339</v>
      </c>
      <c r="I170" s="30" t="s">
        <v>1292</v>
      </c>
      <c r="J170" s="10" t="s">
        <v>678</v>
      </c>
      <c r="K170" s="10" t="s">
        <v>439</v>
      </c>
      <c r="L170" s="10" t="s">
        <v>439</v>
      </c>
    </row>
    <row r="171" spans="1:12" ht="58" x14ac:dyDescent="0.35">
      <c r="A171" s="30" t="s">
        <v>1340</v>
      </c>
      <c r="B171" s="30" t="s">
        <v>1341</v>
      </c>
      <c r="C171" s="30" t="s">
        <v>1342</v>
      </c>
      <c r="D171" s="30" t="s">
        <v>1282</v>
      </c>
      <c r="E171" s="35" t="s">
        <v>1283</v>
      </c>
      <c r="F171" s="9" t="s">
        <v>1343</v>
      </c>
      <c r="G171" s="10" t="s">
        <v>435</v>
      </c>
      <c r="H171" s="30" t="s">
        <v>1344</v>
      </c>
      <c r="I171" s="30" t="s">
        <v>1292</v>
      </c>
      <c r="J171" s="10" t="s">
        <v>678</v>
      </c>
      <c r="K171" s="10" t="s">
        <v>439</v>
      </c>
      <c r="L171" s="10" t="s">
        <v>439</v>
      </c>
    </row>
    <row r="172" spans="1:12" ht="58" x14ac:dyDescent="0.35">
      <c r="A172" s="30" t="s">
        <v>235</v>
      </c>
      <c r="B172" s="30" t="s">
        <v>1345</v>
      </c>
      <c r="C172" s="30" t="s">
        <v>1346</v>
      </c>
      <c r="D172" s="30" t="s">
        <v>1347</v>
      </c>
      <c r="E172" s="35" t="s">
        <v>1283</v>
      </c>
      <c r="F172" s="9" t="s">
        <v>1348</v>
      </c>
      <c r="G172" s="10" t="s">
        <v>435</v>
      </c>
      <c r="H172" s="30" t="s">
        <v>1349</v>
      </c>
      <c r="I172" s="30" t="s">
        <v>1292</v>
      </c>
      <c r="J172" s="10" t="s">
        <v>678</v>
      </c>
      <c r="K172" s="10" t="s">
        <v>439</v>
      </c>
      <c r="L172" s="10" t="s">
        <v>439</v>
      </c>
    </row>
    <row r="173" spans="1:12" ht="58" x14ac:dyDescent="0.35">
      <c r="A173" s="30" t="s">
        <v>1350</v>
      </c>
      <c r="B173" s="30" t="s">
        <v>1351</v>
      </c>
      <c r="C173" s="30" t="s">
        <v>1352</v>
      </c>
      <c r="D173" s="30" t="s">
        <v>1282</v>
      </c>
      <c r="E173" s="35" t="s">
        <v>1283</v>
      </c>
      <c r="F173" s="9" t="s">
        <v>1353</v>
      </c>
      <c r="G173" s="10" t="s">
        <v>538</v>
      </c>
      <c r="H173" s="30" t="s">
        <v>1354</v>
      </c>
      <c r="I173" s="30" t="s">
        <v>1292</v>
      </c>
      <c r="J173" s="10" t="s">
        <v>678</v>
      </c>
      <c r="K173" s="10" t="s">
        <v>439</v>
      </c>
      <c r="L173" s="10" t="s">
        <v>439</v>
      </c>
    </row>
    <row r="174" spans="1:12" ht="58" x14ac:dyDescent="0.35">
      <c r="A174" s="30" t="s">
        <v>238</v>
      </c>
      <c r="B174" s="30" t="s">
        <v>1355</v>
      </c>
      <c r="C174" s="30" t="s">
        <v>847</v>
      </c>
      <c r="D174" s="30" t="s">
        <v>1282</v>
      </c>
      <c r="E174" s="35" t="s">
        <v>1283</v>
      </c>
      <c r="F174" s="9" t="s">
        <v>1356</v>
      </c>
      <c r="G174" s="10" t="s">
        <v>484</v>
      </c>
      <c r="H174" s="30" t="s">
        <v>1357</v>
      </c>
      <c r="I174" s="30" t="s">
        <v>1292</v>
      </c>
      <c r="J174" s="10" t="s">
        <v>678</v>
      </c>
      <c r="K174" s="10" t="s">
        <v>439</v>
      </c>
      <c r="L174" s="10" t="s">
        <v>439</v>
      </c>
    </row>
    <row r="175" spans="1:12" s="29" customFormat="1" ht="26" x14ac:dyDescent="0.35">
      <c r="A175" s="31"/>
      <c r="B175" s="33" t="s">
        <v>3107</v>
      </c>
      <c r="C175" s="31"/>
      <c r="D175" s="31"/>
      <c r="E175" s="36"/>
      <c r="F175" s="28"/>
      <c r="G175" s="27"/>
      <c r="H175" s="31"/>
      <c r="I175" s="31"/>
      <c r="J175" s="27"/>
      <c r="K175" s="27"/>
      <c r="L175" s="27"/>
    </row>
    <row r="176" spans="1:12" ht="58" x14ac:dyDescent="0.35">
      <c r="A176" s="30" t="s">
        <v>1358</v>
      </c>
      <c r="B176" s="30" t="s">
        <v>1359</v>
      </c>
      <c r="C176" s="30" t="s">
        <v>1360</v>
      </c>
      <c r="D176" s="30" t="s">
        <v>1361</v>
      </c>
      <c r="E176" s="35" t="s">
        <v>1362</v>
      </c>
      <c r="F176" s="9" t="s">
        <v>1363</v>
      </c>
      <c r="G176" s="10" t="s">
        <v>435</v>
      </c>
      <c r="H176" s="30" t="s">
        <v>1364</v>
      </c>
      <c r="I176" s="30" t="s">
        <v>1365</v>
      </c>
      <c r="J176" s="10" t="s">
        <v>678</v>
      </c>
      <c r="K176" s="10" t="s">
        <v>439</v>
      </c>
      <c r="L176" s="10" t="s">
        <v>439</v>
      </c>
    </row>
    <row r="177" spans="1:12" ht="43.5" x14ac:dyDescent="0.35">
      <c r="A177" s="30" t="s">
        <v>1366</v>
      </c>
      <c r="B177" s="30" t="s">
        <v>178</v>
      </c>
      <c r="C177" s="30" t="s">
        <v>1367</v>
      </c>
      <c r="D177" s="30" t="s">
        <v>1368</v>
      </c>
      <c r="E177" s="35" t="s">
        <v>1369</v>
      </c>
      <c r="F177" s="9" t="s">
        <v>1363</v>
      </c>
      <c r="G177" s="10" t="s">
        <v>435</v>
      </c>
      <c r="H177" s="30" t="s">
        <v>1370</v>
      </c>
      <c r="I177" s="30" t="s">
        <v>1365</v>
      </c>
      <c r="J177" s="10" t="s">
        <v>678</v>
      </c>
      <c r="K177" s="10" t="s">
        <v>439</v>
      </c>
      <c r="L177" s="10" t="s">
        <v>439</v>
      </c>
    </row>
    <row r="178" spans="1:12" ht="58" x14ac:dyDescent="0.35">
      <c r="A178" s="30" t="s">
        <v>1371</v>
      </c>
      <c r="B178" s="30" t="s">
        <v>1079</v>
      </c>
      <c r="C178" s="30" t="s">
        <v>1372</v>
      </c>
      <c r="D178" s="30" t="s">
        <v>1368</v>
      </c>
      <c r="E178" s="35" t="s">
        <v>1373</v>
      </c>
      <c r="F178" s="9" t="s">
        <v>1363</v>
      </c>
      <c r="G178" s="10" t="s">
        <v>435</v>
      </c>
      <c r="H178" s="30" t="s">
        <v>1374</v>
      </c>
      <c r="I178" s="30" t="s">
        <v>1365</v>
      </c>
      <c r="J178" s="10" t="s">
        <v>678</v>
      </c>
      <c r="K178" s="10" t="s">
        <v>439</v>
      </c>
      <c r="L178" s="10" t="s">
        <v>439</v>
      </c>
    </row>
    <row r="179" spans="1:12" ht="43.5" x14ac:dyDescent="0.35">
      <c r="A179" s="30" t="s">
        <v>1375</v>
      </c>
      <c r="B179" s="30" t="s">
        <v>1376</v>
      </c>
      <c r="C179" s="30" t="s">
        <v>1377</v>
      </c>
      <c r="D179" s="30" t="s">
        <v>1378</v>
      </c>
      <c r="E179" s="35" t="s">
        <v>1379</v>
      </c>
      <c r="F179" s="9" t="s">
        <v>1363</v>
      </c>
      <c r="G179" s="10" t="s">
        <v>435</v>
      </c>
      <c r="H179" s="30" t="s">
        <v>1344</v>
      </c>
      <c r="I179" s="30" t="s">
        <v>1380</v>
      </c>
      <c r="J179" s="10" t="s">
        <v>470</v>
      </c>
      <c r="K179" s="10" t="s">
        <v>439</v>
      </c>
      <c r="L179" s="10" t="s">
        <v>439</v>
      </c>
    </row>
    <row r="180" spans="1:12" ht="43.5" x14ac:dyDescent="0.35">
      <c r="A180" s="30" t="s">
        <v>1381</v>
      </c>
      <c r="B180" s="30" t="s">
        <v>1382</v>
      </c>
      <c r="C180" s="30" t="s">
        <v>1383</v>
      </c>
      <c r="D180" s="30" t="s">
        <v>1384</v>
      </c>
      <c r="E180" s="35" t="s">
        <v>1385</v>
      </c>
      <c r="F180" s="9" t="s">
        <v>1363</v>
      </c>
      <c r="G180" s="10" t="s">
        <v>484</v>
      </c>
      <c r="H180" s="30" t="s">
        <v>1344</v>
      </c>
      <c r="I180" s="30" t="s">
        <v>1380</v>
      </c>
      <c r="J180" s="10" t="s">
        <v>470</v>
      </c>
      <c r="K180" s="10" t="s">
        <v>439</v>
      </c>
      <c r="L180" s="10" t="s">
        <v>439</v>
      </c>
    </row>
    <row r="181" spans="1:12" ht="29" x14ac:dyDescent="0.35">
      <c r="A181" s="30" t="s">
        <v>1386</v>
      </c>
      <c r="B181" s="30" t="s">
        <v>1387</v>
      </c>
      <c r="C181" s="30" t="s">
        <v>1328</v>
      </c>
      <c r="D181" s="30" t="s">
        <v>1388</v>
      </c>
      <c r="E181" s="35" t="s">
        <v>1385</v>
      </c>
      <c r="F181" s="9" t="s">
        <v>1330</v>
      </c>
      <c r="G181" s="10" t="s">
        <v>435</v>
      </c>
      <c r="H181" s="30" t="s">
        <v>1331</v>
      </c>
      <c r="I181" s="30" t="s">
        <v>1331</v>
      </c>
      <c r="J181" s="10" t="s">
        <v>438</v>
      </c>
      <c r="K181" s="10" t="s">
        <v>439</v>
      </c>
      <c r="L181" s="10" t="s">
        <v>439</v>
      </c>
    </row>
    <row r="182" spans="1:12" ht="43.5" x14ac:dyDescent="0.35">
      <c r="A182" s="30" t="s">
        <v>1389</v>
      </c>
      <c r="B182" s="30" t="s">
        <v>1390</v>
      </c>
      <c r="C182" s="30" t="s">
        <v>737</v>
      </c>
      <c r="D182" s="30" t="s">
        <v>1388</v>
      </c>
      <c r="E182" s="35" t="s">
        <v>1102</v>
      </c>
      <c r="F182" s="9" t="s">
        <v>1334</v>
      </c>
      <c r="G182" s="10" t="s">
        <v>435</v>
      </c>
      <c r="H182" s="30" t="s">
        <v>1391</v>
      </c>
      <c r="I182" s="30" t="s">
        <v>1391</v>
      </c>
      <c r="J182" s="10" t="s">
        <v>438</v>
      </c>
      <c r="K182" s="10" t="s">
        <v>439</v>
      </c>
      <c r="L182" s="10" t="s">
        <v>439</v>
      </c>
    </row>
    <row r="183" spans="1:12" ht="58" x14ac:dyDescent="0.35">
      <c r="A183" s="30" t="s">
        <v>1392</v>
      </c>
      <c r="B183" s="30" t="s">
        <v>1337</v>
      </c>
      <c r="C183" s="30" t="s">
        <v>1105</v>
      </c>
      <c r="D183" s="30" t="s">
        <v>1388</v>
      </c>
      <c r="E183" s="35" t="s">
        <v>1102</v>
      </c>
      <c r="F183" s="9" t="s">
        <v>1338</v>
      </c>
      <c r="G183" s="10" t="s">
        <v>538</v>
      </c>
      <c r="H183" s="30" t="s">
        <v>1393</v>
      </c>
      <c r="I183" s="30" t="s">
        <v>1393</v>
      </c>
      <c r="J183" s="10" t="s">
        <v>438</v>
      </c>
      <c r="K183" s="10" t="s">
        <v>439</v>
      </c>
      <c r="L183" s="10" t="s">
        <v>439</v>
      </c>
    </row>
    <row r="184" spans="1:12" ht="29" x14ac:dyDescent="0.35">
      <c r="A184" s="30" t="s">
        <v>1394</v>
      </c>
      <c r="B184" s="30" t="s">
        <v>1395</v>
      </c>
      <c r="C184" s="30" t="s">
        <v>1342</v>
      </c>
      <c r="D184" s="30" t="s">
        <v>1388</v>
      </c>
      <c r="E184" s="35" t="s">
        <v>1385</v>
      </c>
      <c r="F184" s="9" t="s">
        <v>1343</v>
      </c>
      <c r="G184" s="10" t="s">
        <v>435</v>
      </c>
      <c r="H184" s="30" t="s">
        <v>1344</v>
      </c>
      <c r="I184" s="30" t="s">
        <v>1344</v>
      </c>
      <c r="J184" s="10" t="s">
        <v>438</v>
      </c>
      <c r="K184" s="10" t="s">
        <v>439</v>
      </c>
      <c r="L184" s="10" t="s">
        <v>439</v>
      </c>
    </row>
    <row r="185" spans="1:12" ht="58" x14ac:dyDescent="0.35">
      <c r="A185" s="30" t="s">
        <v>250</v>
      </c>
      <c r="B185" s="30" t="s">
        <v>1396</v>
      </c>
      <c r="C185" s="30" t="s">
        <v>1397</v>
      </c>
      <c r="D185" s="30" t="s">
        <v>1398</v>
      </c>
      <c r="E185" s="35" t="s">
        <v>1385</v>
      </c>
      <c r="F185" s="9" t="s">
        <v>1348</v>
      </c>
      <c r="G185" s="10" t="s">
        <v>435</v>
      </c>
      <c r="H185" s="30" t="s">
        <v>1399</v>
      </c>
      <c r="I185" s="30" t="s">
        <v>1380</v>
      </c>
      <c r="J185" s="10" t="s">
        <v>470</v>
      </c>
      <c r="K185" s="10" t="s">
        <v>439</v>
      </c>
      <c r="L185" s="10" t="s">
        <v>439</v>
      </c>
    </row>
    <row r="186" spans="1:12" ht="43.5" x14ac:dyDescent="0.35">
      <c r="A186" s="30" t="s">
        <v>1400</v>
      </c>
      <c r="B186" s="30" t="s">
        <v>1401</v>
      </c>
      <c r="C186" s="30" t="s">
        <v>1402</v>
      </c>
      <c r="D186" s="30" t="s">
        <v>1403</v>
      </c>
      <c r="E186" s="35" t="s">
        <v>1404</v>
      </c>
      <c r="F186" s="9" t="s">
        <v>1405</v>
      </c>
      <c r="G186" s="10" t="s">
        <v>435</v>
      </c>
      <c r="H186" s="30" t="s">
        <v>1406</v>
      </c>
      <c r="I186" s="30" t="s">
        <v>1380</v>
      </c>
      <c r="J186" s="10" t="s">
        <v>470</v>
      </c>
      <c r="K186" s="10" t="s">
        <v>439</v>
      </c>
      <c r="L186" s="10" t="s">
        <v>439</v>
      </c>
    </row>
    <row r="187" spans="1:12" ht="58" x14ac:dyDescent="0.35">
      <c r="A187" s="30" t="s">
        <v>1407</v>
      </c>
      <c r="B187" s="30" t="s">
        <v>1408</v>
      </c>
      <c r="C187" s="30" t="s">
        <v>1409</v>
      </c>
      <c r="D187" s="30" t="s">
        <v>1410</v>
      </c>
      <c r="E187" s="35" t="s">
        <v>1385</v>
      </c>
      <c r="F187" s="9" t="s">
        <v>1411</v>
      </c>
      <c r="G187" s="10" t="s">
        <v>484</v>
      </c>
      <c r="H187" s="30" t="s">
        <v>1412</v>
      </c>
      <c r="I187" s="30" t="s">
        <v>1292</v>
      </c>
      <c r="J187" s="10" t="s">
        <v>678</v>
      </c>
      <c r="K187" s="10" t="s">
        <v>439</v>
      </c>
      <c r="L187" s="10" t="s">
        <v>439</v>
      </c>
    </row>
    <row r="188" spans="1:12" ht="58" x14ac:dyDescent="0.35">
      <c r="A188" s="30" t="s">
        <v>1413</v>
      </c>
      <c r="B188" s="30" t="s">
        <v>1414</v>
      </c>
      <c r="C188" s="30" t="s">
        <v>1415</v>
      </c>
      <c r="D188" s="30" t="s">
        <v>1416</v>
      </c>
      <c r="E188" s="35" t="s">
        <v>1385</v>
      </c>
      <c r="F188" s="9" t="s">
        <v>1363</v>
      </c>
      <c r="G188" s="10" t="s">
        <v>435</v>
      </c>
      <c r="H188" s="30" t="s">
        <v>1417</v>
      </c>
      <c r="I188" s="30" t="s">
        <v>1292</v>
      </c>
      <c r="J188" s="10" t="s">
        <v>678</v>
      </c>
      <c r="K188" s="10" t="s">
        <v>439</v>
      </c>
      <c r="L188" s="10" t="s">
        <v>439</v>
      </c>
    </row>
    <row r="189" spans="1:12" s="29" customFormat="1" ht="26" x14ac:dyDescent="0.35">
      <c r="A189" s="31"/>
      <c r="B189" s="33" t="s">
        <v>3108</v>
      </c>
      <c r="C189" s="31"/>
      <c r="D189" s="31"/>
      <c r="E189" s="36"/>
      <c r="F189" s="28"/>
      <c r="G189" s="27"/>
      <c r="H189" s="31"/>
      <c r="I189" s="31"/>
      <c r="J189" s="27"/>
      <c r="K189" s="27"/>
      <c r="L189" s="27"/>
    </row>
    <row r="190" spans="1:12" ht="58" x14ac:dyDescent="0.35">
      <c r="A190" s="30" t="s">
        <v>1418</v>
      </c>
      <c r="B190" s="30" t="s">
        <v>1419</v>
      </c>
      <c r="C190" s="30" t="s">
        <v>1420</v>
      </c>
      <c r="D190" s="30" t="s">
        <v>1421</v>
      </c>
      <c r="E190" s="35" t="s">
        <v>568</v>
      </c>
      <c r="F190" s="9" t="s">
        <v>1422</v>
      </c>
      <c r="G190" s="10" t="s">
        <v>435</v>
      </c>
      <c r="H190" s="30" t="s">
        <v>1423</v>
      </c>
      <c r="I190" s="30" t="s">
        <v>1424</v>
      </c>
      <c r="J190" s="10" t="s">
        <v>470</v>
      </c>
      <c r="K190" s="10" t="s">
        <v>439</v>
      </c>
      <c r="L190" s="10" t="s">
        <v>439</v>
      </c>
    </row>
    <row r="191" spans="1:12" ht="58" x14ac:dyDescent="0.35">
      <c r="A191" s="30" t="s">
        <v>1425</v>
      </c>
      <c r="B191" s="30" t="s">
        <v>1426</v>
      </c>
      <c r="C191" s="30" t="s">
        <v>1427</v>
      </c>
      <c r="D191" s="30" t="s">
        <v>1421</v>
      </c>
      <c r="E191" s="35" t="s">
        <v>1428</v>
      </c>
      <c r="F191" s="9" t="s">
        <v>1429</v>
      </c>
      <c r="G191" s="10" t="s">
        <v>435</v>
      </c>
      <c r="H191" s="30" t="s">
        <v>1430</v>
      </c>
      <c r="I191" s="30" t="s">
        <v>1292</v>
      </c>
      <c r="J191" s="10" t="s">
        <v>678</v>
      </c>
      <c r="K191" s="10" t="s">
        <v>439</v>
      </c>
      <c r="L191" s="10" t="s">
        <v>439</v>
      </c>
    </row>
    <row r="192" spans="1:12" ht="58" x14ac:dyDescent="0.35">
      <c r="A192" s="30" t="s">
        <v>1431</v>
      </c>
      <c r="B192" s="30" t="s">
        <v>1432</v>
      </c>
      <c r="C192" s="30" t="s">
        <v>1433</v>
      </c>
      <c r="D192" s="30" t="s">
        <v>1421</v>
      </c>
      <c r="E192" s="35" t="s">
        <v>1434</v>
      </c>
      <c r="F192" s="9" t="s">
        <v>1290</v>
      </c>
      <c r="G192" s="10" t="s">
        <v>435</v>
      </c>
      <c r="H192" s="30" t="s">
        <v>1435</v>
      </c>
      <c r="I192" s="30" t="s">
        <v>1292</v>
      </c>
      <c r="J192" s="10" t="s">
        <v>678</v>
      </c>
      <c r="K192" s="10" t="s">
        <v>439</v>
      </c>
      <c r="L192" s="10" t="s">
        <v>439</v>
      </c>
    </row>
    <row r="193" spans="1:12" ht="58" x14ac:dyDescent="0.35">
      <c r="A193" s="30" t="s">
        <v>1436</v>
      </c>
      <c r="B193" s="30" t="s">
        <v>573</v>
      </c>
      <c r="C193" s="30" t="s">
        <v>1437</v>
      </c>
      <c r="D193" s="30" t="s">
        <v>1421</v>
      </c>
      <c r="E193" s="35" t="s">
        <v>1438</v>
      </c>
      <c r="F193" s="9" t="s">
        <v>554</v>
      </c>
      <c r="G193" s="10" t="s">
        <v>484</v>
      </c>
      <c r="H193" s="30" t="s">
        <v>1439</v>
      </c>
      <c r="I193" s="30" t="s">
        <v>1439</v>
      </c>
      <c r="J193" s="10" t="s">
        <v>438</v>
      </c>
      <c r="K193" s="10" t="s">
        <v>439</v>
      </c>
      <c r="L193" s="10" t="s">
        <v>439</v>
      </c>
    </row>
    <row r="194" spans="1:12" ht="58" x14ac:dyDescent="0.35">
      <c r="A194" s="30" t="s">
        <v>1440</v>
      </c>
      <c r="B194" s="30" t="s">
        <v>508</v>
      </c>
      <c r="C194" s="30" t="s">
        <v>578</v>
      </c>
      <c r="D194" s="30" t="s">
        <v>1421</v>
      </c>
      <c r="E194" s="35" t="s">
        <v>579</v>
      </c>
      <c r="F194" s="9" t="s">
        <v>1422</v>
      </c>
      <c r="G194" s="10" t="s">
        <v>484</v>
      </c>
      <c r="H194" s="30" t="s">
        <v>1441</v>
      </c>
      <c r="I194" s="30" t="s">
        <v>1441</v>
      </c>
      <c r="J194" s="10" t="s">
        <v>438</v>
      </c>
      <c r="K194" s="10" t="s">
        <v>439</v>
      </c>
      <c r="L194" s="10" t="s">
        <v>439</v>
      </c>
    </row>
    <row r="195" spans="1:12" ht="58" x14ac:dyDescent="0.35">
      <c r="A195" s="30" t="s">
        <v>1442</v>
      </c>
      <c r="B195" s="30" t="s">
        <v>1443</v>
      </c>
      <c r="C195" s="30" t="s">
        <v>1444</v>
      </c>
      <c r="D195" s="30" t="s">
        <v>1421</v>
      </c>
      <c r="E195" s="35" t="s">
        <v>568</v>
      </c>
      <c r="F195" s="9" t="s">
        <v>1445</v>
      </c>
      <c r="G195" s="10" t="s">
        <v>435</v>
      </c>
      <c r="H195" s="30" t="s">
        <v>1331</v>
      </c>
      <c r="I195" s="30" t="s">
        <v>1331</v>
      </c>
      <c r="J195" s="10" t="s">
        <v>438</v>
      </c>
      <c r="K195" s="10" t="s">
        <v>439</v>
      </c>
      <c r="L195" s="10" t="s">
        <v>439</v>
      </c>
    </row>
    <row r="196" spans="1:12" ht="72.5" x14ac:dyDescent="0.35">
      <c r="A196" s="30" t="s">
        <v>1446</v>
      </c>
      <c r="B196" s="30" t="s">
        <v>1447</v>
      </c>
      <c r="C196" s="30" t="s">
        <v>737</v>
      </c>
      <c r="D196" s="30" t="s">
        <v>1421</v>
      </c>
      <c r="E196" s="35" t="s">
        <v>1182</v>
      </c>
      <c r="F196" s="9" t="s">
        <v>1448</v>
      </c>
      <c r="G196" s="10" t="s">
        <v>435</v>
      </c>
      <c r="H196" s="30" t="s">
        <v>1391</v>
      </c>
      <c r="I196" s="30" t="s">
        <v>1391</v>
      </c>
      <c r="J196" s="10" t="s">
        <v>438</v>
      </c>
      <c r="K196" s="10" t="s">
        <v>439</v>
      </c>
      <c r="L196" s="10" t="s">
        <v>439</v>
      </c>
    </row>
    <row r="197" spans="1:12" ht="58" x14ac:dyDescent="0.35">
      <c r="A197" s="30" t="s">
        <v>1449</v>
      </c>
      <c r="B197" s="30" t="s">
        <v>1450</v>
      </c>
      <c r="C197" s="30" t="s">
        <v>1342</v>
      </c>
      <c r="D197" s="30" t="s">
        <v>1421</v>
      </c>
      <c r="E197" s="35" t="s">
        <v>568</v>
      </c>
      <c r="F197" s="9" t="s">
        <v>1451</v>
      </c>
      <c r="G197" s="10" t="s">
        <v>435</v>
      </c>
      <c r="H197" s="30" t="s">
        <v>1344</v>
      </c>
      <c r="I197" s="30" t="s">
        <v>1292</v>
      </c>
      <c r="J197" s="10" t="s">
        <v>678</v>
      </c>
      <c r="K197" s="10" t="s">
        <v>439</v>
      </c>
      <c r="L197" s="10" t="s">
        <v>439</v>
      </c>
    </row>
    <row r="198" spans="1:12" ht="58" x14ac:dyDescent="0.35">
      <c r="A198" s="30" t="s">
        <v>1452</v>
      </c>
      <c r="B198" s="30" t="s">
        <v>1453</v>
      </c>
      <c r="C198" s="30" t="s">
        <v>1454</v>
      </c>
      <c r="D198" s="30" t="s">
        <v>1455</v>
      </c>
      <c r="E198" s="35" t="s">
        <v>568</v>
      </c>
      <c r="F198" s="9" t="s">
        <v>1456</v>
      </c>
      <c r="G198" s="10" t="s">
        <v>435</v>
      </c>
      <c r="H198" s="30" t="s">
        <v>1457</v>
      </c>
      <c r="I198" s="30" t="s">
        <v>1292</v>
      </c>
      <c r="J198" s="10" t="s">
        <v>678</v>
      </c>
      <c r="K198" s="10" t="s">
        <v>439</v>
      </c>
      <c r="L198" s="10" t="s">
        <v>439</v>
      </c>
    </row>
    <row r="199" spans="1:12" ht="58" x14ac:dyDescent="0.35">
      <c r="A199" s="30" t="s">
        <v>1458</v>
      </c>
      <c r="B199" s="30" t="s">
        <v>1459</v>
      </c>
      <c r="C199" s="30" t="s">
        <v>1460</v>
      </c>
      <c r="D199" s="30" t="s">
        <v>1421</v>
      </c>
      <c r="E199" s="35" t="s">
        <v>568</v>
      </c>
      <c r="F199" s="9" t="s">
        <v>1461</v>
      </c>
      <c r="G199" s="10" t="s">
        <v>435</v>
      </c>
      <c r="H199" s="30" t="s">
        <v>1462</v>
      </c>
      <c r="I199" s="30" t="s">
        <v>1462</v>
      </c>
      <c r="J199" s="10" t="s">
        <v>438</v>
      </c>
      <c r="K199" s="10" t="s">
        <v>439</v>
      </c>
      <c r="L199" s="10" t="s">
        <v>439</v>
      </c>
    </row>
    <row r="200" spans="1:12" ht="87" x14ac:dyDescent="0.35">
      <c r="A200" s="30" t="s">
        <v>1463</v>
      </c>
      <c r="B200" s="30" t="s">
        <v>1464</v>
      </c>
      <c r="C200" s="30" t="s">
        <v>737</v>
      </c>
      <c r="D200" s="30" t="s">
        <v>1421</v>
      </c>
      <c r="E200" s="35" t="s">
        <v>1182</v>
      </c>
      <c r="F200" s="9" t="s">
        <v>1465</v>
      </c>
      <c r="G200" s="10" t="s">
        <v>435</v>
      </c>
      <c r="H200" s="30" t="s">
        <v>1466</v>
      </c>
      <c r="I200" s="30" t="s">
        <v>1466</v>
      </c>
      <c r="J200" s="10" t="s">
        <v>438</v>
      </c>
      <c r="K200" s="10" t="s">
        <v>439</v>
      </c>
      <c r="L200" s="10" t="s">
        <v>439</v>
      </c>
    </row>
    <row r="201" spans="1:12" ht="58" x14ac:dyDescent="0.35">
      <c r="A201" s="30" t="s">
        <v>1467</v>
      </c>
      <c r="B201" s="30" t="s">
        <v>1468</v>
      </c>
      <c r="C201" s="30" t="s">
        <v>1235</v>
      </c>
      <c r="D201" s="30" t="s">
        <v>1421</v>
      </c>
      <c r="E201" s="35" t="s">
        <v>568</v>
      </c>
      <c r="F201" s="9" t="s">
        <v>1469</v>
      </c>
      <c r="G201" s="10" t="s">
        <v>435</v>
      </c>
      <c r="H201" s="30" t="s">
        <v>1470</v>
      </c>
      <c r="I201" s="30" t="s">
        <v>1292</v>
      </c>
      <c r="J201" s="10" t="s">
        <v>678</v>
      </c>
      <c r="K201" s="10" t="s">
        <v>439</v>
      </c>
      <c r="L201" s="10" t="s">
        <v>439</v>
      </c>
    </row>
    <row r="202" spans="1:12" ht="58" x14ac:dyDescent="0.35">
      <c r="A202" s="30" t="s">
        <v>1471</v>
      </c>
      <c r="B202" s="30" t="s">
        <v>1472</v>
      </c>
      <c r="C202" s="30" t="s">
        <v>1239</v>
      </c>
      <c r="D202" s="30" t="s">
        <v>1421</v>
      </c>
      <c r="E202" s="35" t="s">
        <v>568</v>
      </c>
      <c r="F202" s="9" t="s">
        <v>1473</v>
      </c>
      <c r="G202" s="10" t="s">
        <v>435</v>
      </c>
      <c r="H202" s="30" t="s">
        <v>1474</v>
      </c>
      <c r="I202" s="30" t="s">
        <v>1292</v>
      </c>
      <c r="J202" s="10" t="s">
        <v>678</v>
      </c>
      <c r="K202" s="10" t="s">
        <v>439</v>
      </c>
      <c r="L202" s="10" t="s">
        <v>439</v>
      </c>
    </row>
    <row r="203" spans="1:12" ht="58" x14ac:dyDescent="0.35">
      <c r="A203" s="30" t="s">
        <v>1475</v>
      </c>
      <c r="B203" s="30" t="s">
        <v>1476</v>
      </c>
      <c r="C203" s="30" t="s">
        <v>1477</v>
      </c>
      <c r="D203" s="30" t="s">
        <v>1421</v>
      </c>
      <c r="E203" s="35" t="s">
        <v>568</v>
      </c>
      <c r="F203" s="9" t="s">
        <v>1478</v>
      </c>
      <c r="G203" s="10" t="s">
        <v>538</v>
      </c>
      <c r="H203" s="30" t="s">
        <v>1479</v>
      </c>
      <c r="I203" s="30" t="s">
        <v>1292</v>
      </c>
      <c r="J203" s="10" t="s">
        <v>678</v>
      </c>
      <c r="K203" s="10" t="s">
        <v>439</v>
      </c>
      <c r="L203" s="10" t="s">
        <v>439</v>
      </c>
    </row>
    <row r="204" spans="1:12" ht="58" x14ac:dyDescent="0.35">
      <c r="A204" s="30" t="s">
        <v>1480</v>
      </c>
      <c r="B204" s="30" t="s">
        <v>1481</v>
      </c>
      <c r="C204" s="30" t="s">
        <v>1482</v>
      </c>
      <c r="D204" s="30" t="s">
        <v>1421</v>
      </c>
      <c r="E204" s="35" t="s">
        <v>568</v>
      </c>
      <c r="F204" s="9" t="s">
        <v>1483</v>
      </c>
      <c r="G204" s="10" t="s">
        <v>484</v>
      </c>
      <c r="H204" s="30" t="s">
        <v>1484</v>
      </c>
      <c r="I204" s="30" t="s">
        <v>1292</v>
      </c>
      <c r="J204" s="10" t="s">
        <v>678</v>
      </c>
      <c r="K204" s="10" t="s">
        <v>439</v>
      </c>
      <c r="L204" s="10" t="s">
        <v>439</v>
      </c>
    </row>
    <row r="205" spans="1:12" ht="58" x14ac:dyDescent="0.35">
      <c r="A205" s="30" t="s">
        <v>1485</v>
      </c>
      <c r="B205" s="30" t="s">
        <v>1486</v>
      </c>
      <c r="C205" s="30" t="s">
        <v>1250</v>
      </c>
      <c r="D205" s="30" t="s">
        <v>1421</v>
      </c>
      <c r="E205" s="35" t="s">
        <v>568</v>
      </c>
      <c r="F205" s="9" t="s">
        <v>1487</v>
      </c>
      <c r="G205" s="10" t="s">
        <v>538</v>
      </c>
      <c r="H205" s="30" t="s">
        <v>1488</v>
      </c>
      <c r="I205" s="30" t="s">
        <v>1292</v>
      </c>
      <c r="J205" s="10" t="s">
        <v>678</v>
      </c>
      <c r="K205" s="10" t="s">
        <v>439</v>
      </c>
      <c r="L205" s="10" t="s">
        <v>439</v>
      </c>
    </row>
    <row r="206" spans="1:12" ht="58" x14ac:dyDescent="0.35">
      <c r="A206" s="30" t="s">
        <v>1489</v>
      </c>
      <c r="B206" s="30" t="s">
        <v>1490</v>
      </c>
      <c r="C206" s="30" t="s">
        <v>1262</v>
      </c>
      <c r="D206" s="30" t="s">
        <v>1421</v>
      </c>
      <c r="E206" s="35" t="s">
        <v>568</v>
      </c>
      <c r="F206" s="9" t="s">
        <v>1491</v>
      </c>
      <c r="G206" s="10" t="s">
        <v>484</v>
      </c>
      <c r="H206" s="30" t="s">
        <v>1492</v>
      </c>
      <c r="I206" s="30" t="s">
        <v>1292</v>
      </c>
      <c r="J206" s="10" t="s">
        <v>678</v>
      </c>
      <c r="K206" s="10" t="s">
        <v>439</v>
      </c>
      <c r="L206" s="10" t="s">
        <v>439</v>
      </c>
    </row>
    <row r="207" spans="1:12" ht="58" x14ac:dyDescent="0.35">
      <c r="A207" s="30" t="s">
        <v>1493</v>
      </c>
      <c r="B207" s="30" t="s">
        <v>1494</v>
      </c>
      <c r="C207" s="30" t="s">
        <v>1495</v>
      </c>
      <c r="D207" s="30" t="s">
        <v>1421</v>
      </c>
      <c r="E207" s="35" t="s">
        <v>568</v>
      </c>
      <c r="F207" s="9" t="s">
        <v>1496</v>
      </c>
      <c r="G207" s="10" t="s">
        <v>435</v>
      </c>
      <c r="H207" s="30" t="s">
        <v>1497</v>
      </c>
      <c r="I207" s="30" t="s">
        <v>1497</v>
      </c>
      <c r="J207" s="10" t="s">
        <v>438</v>
      </c>
      <c r="K207" s="10" t="s">
        <v>439</v>
      </c>
      <c r="L207" s="10" t="s">
        <v>439</v>
      </c>
    </row>
    <row r="208" spans="1:12" ht="188.5" x14ac:dyDescent="0.35">
      <c r="A208" s="30" t="s">
        <v>1498</v>
      </c>
      <c r="B208" s="30" t="s">
        <v>1499</v>
      </c>
      <c r="C208" s="30" t="s">
        <v>697</v>
      </c>
      <c r="D208" s="30" t="s">
        <v>1421</v>
      </c>
      <c r="E208" s="35" t="s">
        <v>1182</v>
      </c>
      <c r="F208" s="9" t="s">
        <v>1500</v>
      </c>
      <c r="G208" s="10" t="s">
        <v>538</v>
      </c>
      <c r="H208" s="30" t="s">
        <v>699</v>
      </c>
      <c r="I208" s="30" t="s">
        <v>1501</v>
      </c>
      <c r="J208" s="10" t="s">
        <v>470</v>
      </c>
      <c r="K208" s="10" t="s">
        <v>439</v>
      </c>
      <c r="L208" s="10" t="s">
        <v>439</v>
      </c>
    </row>
    <row r="209" spans="1:12" ht="58" x14ac:dyDescent="0.35">
      <c r="A209" s="30" t="s">
        <v>1502</v>
      </c>
      <c r="B209" s="30" t="s">
        <v>1503</v>
      </c>
      <c r="C209" s="30" t="s">
        <v>1504</v>
      </c>
      <c r="D209" s="30" t="s">
        <v>1421</v>
      </c>
      <c r="E209" s="35" t="s">
        <v>568</v>
      </c>
      <c r="F209" s="9" t="s">
        <v>1505</v>
      </c>
      <c r="G209" s="10" t="s">
        <v>538</v>
      </c>
      <c r="H209" s="30" t="s">
        <v>1506</v>
      </c>
      <c r="I209" s="30" t="s">
        <v>1292</v>
      </c>
      <c r="J209" s="10" t="s">
        <v>678</v>
      </c>
      <c r="K209" s="10" t="s">
        <v>439</v>
      </c>
      <c r="L209" s="10" t="s">
        <v>439</v>
      </c>
    </row>
    <row r="210" spans="1:12" ht="58" x14ac:dyDescent="0.35">
      <c r="A210" s="30" t="s">
        <v>1507</v>
      </c>
      <c r="B210" s="30" t="s">
        <v>1508</v>
      </c>
      <c r="C210" s="30" t="s">
        <v>842</v>
      </c>
      <c r="D210" s="30" t="s">
        <v>1421</v>
      </c>
      <c r="E210" s="35" t="s">
        <v>568</v>
      </c>
      <c r="F210" s="9" t="s">
        <v>1509</v>
      </c>
      <c r="G210" s="10" t="s">
        <v>435</v>
      </c>
      <c r="H210" s="30" t="s">
        <v>1510</v>
      </c>
      <c r="I210" s="30" t="s">
        <v>1511</v>
      </c>
      <c r="J210" s="10" t="s">
        <v>470</v>
      </c>
      <c r="K210" s="10" t="s">
        <v>439</v>
      </c>
      <c r="L210" s="10" t="s">
        <v>439</v>
      </c>
    </row>
    <row r="211" spans="1:12" ht="58" x14ac:dyDescent="0.35">
      <c r="A211" s="30" t="s">
        <v>1512</v>
      </c>
      <c r="B211" s="30" t="s">
        <v>1513</v>
      </c>
      <c r="C211" s="30" t="s">
        <v>1514</v>
      </c>
      <c r="D211" s="30" t="s">
        <v>1421</v>
      </c>
      <c r="E211" s="35" t="s">
        <v>1515</v>
      </c>
      <c r="F211" s="9" t="s">
        <v>1516</v>
      </c>
      <c r="G211" s="10" t="s">
        <v>435</v>
      </c>
      <c r="H211" s="30" t="s">
        <v>1517</v>
      </c>
      <c r="I211" s="30" t="s">
        <v>1292</v>
      </c>
      <c r="J211" s="10" t="s">
        <v>678</v>
      </c>
      <c r="K211" s="10" t="s">
        <v>439</v>
      </c>
      <c r="L211" s="10" t="s">
        <v>439</v>
      </c>
    </row>
    <row r="212" spans="1:12" ht="58" x14ac:dyDescent="0.35">
      <c r="A212" s="30" t="s">
        <v>1518</v>
      </c>
      <c r="B212" s="30" t="s">
        <v>1519</v>
      </c>
      <c r="C212" s="30" t="s">
        <v>1520</v>
      </c>
      <c r="D212" s="30" t="s">
        <v>1421</v>
      </c>
      <c r="E212" s="35" t="s">
        <v>1521</v>
      </c>
      <c r="F212" s="9" t="s">
        <v>1522</v>
      </c>
      <c r="G212" s="10" t="s">
        <v>484</v>
      </c>
      <c r="H212" s="30" t="s">
        <v>1523</v>
      </c>
      <c r="I212" s="30" t="s">
        <v>1292</v>
      </c>
      <c r="J212" s="10" t="s">
        <v>678</v>
      </c>
      <c r="K212" s="10" t="s">
        <v>439</v>
      </c>
      <c r="L212" s="10" t="s">
        <v>439</v>
      </c>
    </row>
    <row r="213" spans="1:12" ht="58" x14ac:dyDescent="0.35">
      <c r="A213" s="30" t="s">
        <v>1524</v>
      </c>
      <c r="B213" s="30" t="s">
        <v>1525</v>
      </c>
      <c r="C213" s="30" t="s">
        <v>1526</v>
      </c>
      <c r="D213" s="30" t="s">
        <v>1421</v>
      </c>
      <c r="E213" s="35" t="s">
        <v>1527</v>
      </c>
      <c r="F213" s="9" t="s">
        <v>1528</v>
      </c>
      <c r="G213" s="10" t="s">
        <v>484</v>
      </c>
      <c r="H213" s="30" t="s">
        <v>1529</v>
      </c>
      <c r="I213" s="30" t="s">
        <v>1292</v>
      </c>
      <c r="J213" s="10" t="s">
        <v>678</v>
      </c>
      <c r="K213" s="10" t="s">
        <v>439</v>
      </c>
      <c r="L213" s="10" t="s">
        <v>439</v>
      </c>
    </row>
    <row r="214" spans="1:12" ht="58" x14ac:dyDescent="0.35">
      <c r="A214" s="30" t="s">
        <v>1530</v>
      </c>
      <c r="B214" s="30" t="s">
        <v>830</v>
      </c>
      <c r="C214" s="30" t="s">
        <v>831</v>
      </c>
      <c r="D214" s="30" t="s">
        <v>1421</v>
      </c>
      <c r="E214" s="35" t="s">
        <v>832</v>
      </c>
      <c r="F214" s="9" t="s">
        <v>1531</v>
      </c>
      <c r="G214" s="10" t="s">
        <v>435</v>
      </c>
      <c r="H214" s="30" t="s">
        <v>1532</v>
      </c>
      <c r="I214" s="30" t="s">
        <v>1532</v>
      </c>
      <c r="J214" s="10" t="s">
        <v>438</v>
      </c>
      <c r="K214" s="10" t="s">
        <v>439</v>
      </c>
      <c r="L214" s="10" t="s">
        <v>439</v>
      </c>
    </row>
    <row r="215" spans="1:12" ht="58" x14ac:dyDescent="0.35">
      <c r="A215" s="30" t="s">
        <v>1533</v>
      </c>
      <c r="B215" s="30" t="s">
        <v>851</v>
      </c>
      <c r="C215" s="30" t="s">
        <v>1534</v>
      </c>
      <c r="D215" s="30" t="s">
        <v>1421</v>
      </c>
      <c r="E215" s="35" t="s">
        <v>853</v>
      </c>
      <c r="F215" s="9" t="s">
        <v>1422</v>
      </c>
      <c r="G215" s="10" t="s">
        <v>435</v>
      </c>
      <c r="H215" s="30" t="s">
        <v>1535</v>
      </c>
      <c r="I215" s="30" t="s">
        <v>1292</v>
      </c>
      <c r="J215" s="10" t="s">
        <v>678</v>
      </c>
      <c r="K215" s="10" t="s">
        <v>439</v>
      </c>
      <c r="L215" s="10" t="s">
        <v>439</v>
      </c>
    </row>
    <row r="216" spans="1:12" ht="58" x14ac:dyDescent="0.35">
      <c r="A216" s="30" t="s">
        <v>1536</v>
      </c>
      <c r="B216" s="30" t="s">
        <v>1537</v>
      </c>
      <c r="C216" s="30" t="s">
        <v>847</v>
      </c>
      <c r="D216" s="30" t="s">
        <v>1421</v>
      </c>
      <c r="E216" s="35" t="s">
        <v>568</v>
      </c>
      <c r="F216" s="9" t="s">
        <v>1538</v>
      </c>
      <c r="G216" s="10" t="s">
        <v>484</v>
      </c>
      <c r="H216" s="30" t="s">
        <v>1539</v>
      </c>
      <c r="I216" s="30" t="s">
        <v>1292</v>
      </c>
      <c r="J216" s="10" t="s">
        <v>678</v>
      </c>
      <c r="K216" s="10" t="s">
        <v>439</v>
      </c>
      <c r="L216" s="10" t="s">
        <v>439</v>
      </c>
    </row>
    <row r="217" spans="1:12" s="29" customFormat="1" ht="26" x14ac:dyDescent="0.35">
      <c r="A217" s="31"/>
      <c r="B217" s="33" t="s">
        <v>2369</v>
      </c>
      <c r="C217" s="31"/>
      <c r="D217" s="31"/>
      <c r="E217" s="36"/>
      <c r="F217" s="28"/>
      <c r="G217" s="27"/>
      <c r="H217" s="31"/>
      <c r="I217" s="31"/>
      <c r="J217" s="27"/>
      <c r="K217" s="27"/>
      <c r="L217" s="27"/>
    </row>
    <row r="218" spans="1:12" ht="58" x14ac:dyDescent="0.35">
      <c r="A218" s="30" t="s">
        <v>1540</v>
      </c>
      <c r="B218" s="30" t="s">
        <v>1541</v>
      </c>
      <c r="C218" s="30" t="s">
        <v>1542</v>
      </c>
      <c r="D218" s="30" t="s">
        <v>1543</v>
      </c>
      <c r="E218" s="35" t="s">
        <v>568</v>
      </c>
      <c r="F218" s="9" t="s">
        <v>1544</v>
      </c>
      <c r="G218" s="10" t="s">
        <v>435</v>
      </c>
      <c r="H218" s="30" t="s">
        <v>1545</v>
      </c>
      <c r="I218" s="30" t="s">
        <v>1545</v>
      </c>
      <c r="J218" s="10" t="s">
        <v>438</v>
      </c>
      <c r="K218" s="10" t="s">
        <v>439</v>
      </c>
      <c r="L218" s="10" t="s">
        <v>439</v>
      </c>
    </row>
    <row r="219" spans="1:12" ht="58" x14ac:dyDescent="0.35">
      <c r="A219" s="30" t="s">
        <v>1546</v>
      </c>
      <c r="B219" s="30" t="s">
        <v>1547</v>
      </c>
      <c r="C219" s="30" t="s">
        <v>1427</v>
      </c>
      <c r="D219" s="30" t="s">
        <v>1543</v>
      </c>
      <c r="E219" s="35" t="s">
        <v>1548</v>
      </c>
      <c r="F219" s="9" t="s">
        <v>1549</v>
      </c>
      <c r="G219" s="10" t="s">
        <v>435</v>
      </c>
      <c r="H219" s="30" t="s">
        <v>1550</v>
      </c>
      <c r="I219" s="30" t="s">
        <v>1380</v>
      </c>
      <c r="J219" s="10" t="s">
        <v>470</v>
      </c>
      <c r="K219" s="10" t="s">
        <v>439</v>
      </c>
      <c r="L219" s="10" t="s">
        <v>439</v>
      </c>
    </row>
    <row r="220" spans="1:12" ht="58" x14ac:dyDescent="0.35">
      <c r="A220" s="30" t="s">
        <v>1551</v>
      </c>
      <c r="B220" s="30" t="s">
        <v>1552</v>
      </c>
      <c r="C220" s="30" t="s">
        <v>1433</v>
      </c>
      <c r="D220" s="30" t="s">
        <v>1543</v>
      </c>
      <c r="E220" s="35" t="s">
        <v>1553</v>
      </c>
      <c r="F220" s="9" t="s">
        <v>1290</v>
      </c>
      <c r="G220" s="10" t="s">
        <v>435</v>
      </c>
      <c r="H220" s="30" t="s">
        <v>1554</v>
      </c>
      <c r="I220" s="30" t="s">
        <v>1555</v>
      </c>
      <c r="J220" s="10" t="s">
        <v>470</v>
      </c>
      <c r="K220" s="10" t="s">
        <v>439</v>
      </c>
      <c r="L220" s="10" t="s">
        <v>439</v>
      </c>
    </row>
    <row r="221" spans="1:12" ht="58" x14ac:dyDescent="0.35">
      <c r="A221" s="30" t="s">
        <v>1556</v>
      </c>
      <c r="B221" s="30" t="s">
        <v>573</v>
      </c>
      <c r="C221" s="30" t="s">
        <v>1557</v>
      </c>
      <c r="D221" s="30" t="s">
        <v>1543</v>
      </c>
      <c r="E221" s="35" t="s">
        <v>1558</v>
      </c>
      <c r="F221" s="9" t="s">
        <v>554</v>
      </c>
      <c r="G221" s="10" t="s">
        <v>484</v>
      </c>
      <c r="H221" s="30" t="s">
        <v>1439</v>
      </c>
      <c r="I221" s="30" t="s">
        <v>1439</v>
      </c>
      <c r="J221" s="10" t="s">
        <v>438</v>
      </c>
      <c r="K221" s="10" t="s">
        <v>439</v>
      </c>
      <c r="L221" s="10" t="s">
        <v>439</v>
      </c>
    </row>
    <row r="222" spans="1:12" ht="58" x14ac:dyDescent="0.35">
      <c r="A222" s="30" t="s">
        <v>1559</v>
      </c>
      <c r="B222" s="30" t="s">
        <v>508</v>
      </c>
      <c r="C222" s="30" t="s">
        <v>578</v>
      </c>
      <c r="D222" s="30" t="s">
        <v>1543</v>
      </c>
      <c r="E222" s="35" t="s">
        <v>579</v>
      </c>
      <c r="F222" s="9" t="s">
        <v>1544</v>
      </c>
      <c r="G222" s="10" t="s">
        <v>484</v>
      </c>
      <c r="H222" s="30" t="s">
        <v>1441</v>
      </c>
      <c r="I222" s="30" t="s">
        <v>1441</v>
      </c>
      <c r="J222" s="10" t="s">
        <v>438</v>
      </c>
      <c r="K222" s="10" t="s">
        <v>439</v>
      </c>
      <c r="L222" s="10" t="s">
        <v>439</v>
      </c>
    </row>
    <row r="223" spans="1:12" ht="58" x14ac:dyDescent="0.35">
      <c r="A223" s="30" t="s">
        <v>1560</v>
      </c>
      <c r="B223" s="30" t="s">
        <v>1561</v>
      </c>
      <c r="C223" s="30" t="s">
        <v>1562</v>
      </c>
      <c r="D223" s="30" t="s">
        <v>1543</v>
      </c>
      <c r="E223" s="35" t="s">
        <v>568</v>
      </c>
      <c r="F223" s="9" t="s">
        <v>1563</v>
      </c>
      <c r="G223" s="10" t="s">
        <v>435</v>
      </c>
      <c r="H223" s="30" t="s">
        <v>1564</v>
      </c>
      <c r="I223" s="30" t="s">
        <v>1565</v>
      </c>
      <c r="J223" s="10" t="s">
        <v>470</v>
      </c>
      <c r="K223" s="10" t="s">
        <v>439</v>
      </c>
      <c r="L223" s="10" t="s">
        <v>439</v>
      </c>
    </row>
    <row r="224" spans="1:12" ht="58" x14ac:dyDescent="0.35">
      <c r="A224" s="30" t="s">
        <v>1566</v>
      </c>
      <c r="B224" s="30" t="s">
        <v>1567</v>
      </c>
      <c r="C224" s="30" t="s">
        <v>1568</v>
      </c>
      <c r="D224" s="30" t="s">
        <v>1543</v>
      </c>
      <c r="E224" s="35" t="s">
        <v>568</v>
      </c>
      <c r="F224" s="9" t="s">
        <v>1569</v>
      </c>
      <c r="G224" s="10" t="s">
        <v>484</v>
      </c>
      <c r="H224" s="30" t="s">
        <v>1570</v>
      </c>
      <c r="I224" s="30" t="s">
        <v>1565</v>
      </c>
      <c r="J224" s="10" t="s">
        <v>470</v>
      </c>
      <c r="K224" s="10" t="s">
        <v>439</v>
      </c>
      <c r="L224" s="10" t="s">
        <v>439</v>
      </c>
    </row>
    <row r="225" spans="1:12" ht="58" x14ac:dyDescent="0.35">
      <c r="A225" s="30" t="s">
        <v>1571</v>
      </c>
      <c r="B225" s="30" t="s">
        <v>1572</v>
      </c>
      <c r="C225" s="30" t="s">
        <v>1573</v>
      </c>
      <c r="D225" s="30" t="s">
        <v>1543</v>
      </c>
      <c r="E225" s="35" t="s">
        <v>568</v>
      </c>
      <c r="F225" s="9" t="s">
        <v>1574</v>
      </c>
      <c r="G225" s="10" t="s">
        <v>435</v>
      </c>
      <c r="H225" s="30" t="s">
        <v>1575</v>
      </c>
      <c r="I225" s="30" t="s">
        <v>1565</v>
      </c>
      <c r="J225" s="10" t="s">
        <v>470</v>
      </c>
      <c r="K225" s="10" t="s">
        <v>439</v>
      </c>
      <c r="L225" s="10" t="s">
        <v>439</v>
      </c>
    </row>
    <row r="226" spans="1:12" ht="58" x14ac:dyDescent="0.35">
      <c r="A226" s="30" t="s">
        <v>1576</v>
      </c>
      <c r="B226" s="30" t="s">
        <v>1577</v>
      </c>
      <c r="C226" s="30" t="s">
        <v>1578</v>
      </c>
      <c r="D226" s="30" t="s">
        <v>1579</v>
      </c>
      <c r="E226" s="35" t="s">
        <v>568</v>
      </c>
      <c r="F226" s="9" t="s">
        <v>1580</v>
      </c>
      <c r="G226" s="10" t="s">
        <v>435</v>
      </c>
      <c r="H226" s="30" t="s">
        <v>1581</v>
      </c>
      <c r="I226" s="30" t="s">
        <v>1565</v>
      </c>
      <c r="J226" s="10" t="s">
        <v>470</v>
      </c>
      <c r="K226" s="10" t="s">
        <v>439</v>
      </c>
      <c r="L226" s="10" t="s">
        <v>439</v>
      </c>
    </row>
    <row r="227" spans="1:12" ht="43.5" x14ac:dyDescent="0.35">
      <c r="A227" s="30" t="s">
        <v>1582</v>
      </c>
      <c r="B227" s="30" t="s">
        <v>1583</v>
      </c>
      <c r="C227" s="30" t="s">
        <v>1584</v>
      </c>
      <c r="D227" s="30" t="s">
        <v>1585</v>
      </c>
      <c r="E227" s="35" t="s">
        <v>568</v>
      </c>
      <c r="F227" s="9" t="s">
        <v>1586</v>
      </c>
      <c r="G227" s="10" t="s">
        <v>435</v>
      </c>
      <c r="H227" s="30" t="s">
        <v>1587</v>
      </c>
      <c r="I227" s="30" t="s">
        <v>1565</v>
      </c>
      <c r="J227" s="10" t="s">
        <v>470</v>
      </c>
      <c r="K227" s="10" t="s">
        <v>439</v>
      </c>
      <c r="L227" s="10" t="s">
        <v>439</v>
      </c>
    </row>
    <row r="228" spans="1:12" ht="58" x14ac:dyDescent="0.35">
      <c r="A228" s="30" t="s">
        <v>1588</v>
      </c>
      <c r="B228" s="30" t="s">
        <v>1589</v>
      </c>
      <c r="C228" s="30" t="s">
        <v>1590</v>
      </c>
      <c r="D228" s="30" t="s">
        <v>1543</v>
      </c>
      <c r="E228" s="35" t="s">
        <v>1591</v>
      </c>
      <c r="F228" s="9" t="s">
        <v>1290</v>
      </c>
      <c r="G228" s="10" t="s">
        <v>484</v>
      </c>
      <c r="H228" s="30" t="s">
        <v>1592</v>
      </c>
      <c r="I228" s="30" t="s">
        <v>1555</v>
      </c>
      <c r="J228" s="10" t="s">
        <v>470</v>
      </c>
      <c r="K228" s="10" t="s">
        <v>439</v>
      </c>
      <c r="L228" s="10" t="s">
        <v>439</v>
      </c>
    </row>
    <row r="229" spans="1:12" ht="58" x14ac:dyDescent="0.35">
      <c r="A229" s="30" t="s">
        <v>1593</v>
      </c>
      <c r="B229" s="30" t="s">
        <v>1594</v>
      </c>
      <c r="C229" s="30" t="s">
        <v>1444</v>
      </c>
      <c r="D229" s="30" t="s">
        <v>1543</v>
      </c>
      <c r="E229" s="35" t="s">
        <v>568</v>
      </c>
      <c r="F229" s="9" t="s">
        <v>1595</v>
      </c>
      <c r="G229" s="10" t="s">
        <v>435</v>
      </c>
      <c r="H229" s="30" t="s">
        <v>1331</v>
      </c>
      <c r="I229" s="30" t="s">
        <v>1331</v>
      </c>
      <c r="J229" s="10" t="s">
        <v>438</v>
      </c>
      <c r="K229" s="10" t="s">
        <v>439</v>
      </c>
      <c r="L229" s="10" t="s">
        <v>439</v>
      </c>
    </row>
    <row r="230" spans="1:12" ht="72.5" x14ac:dyDescent="0.35">
      <c r="A230" s="30" t="s">
        <v>1596</v>
      </c>
      <c r="B230" s="30" t="s">
        <v>1597</v>
      </c>
      <c r="C230" s="30" t="s">
        <v>737</v>
      </c>
      <c r="D230" s="30" t="s">
        <v>1543</v>
      </c>
      <c r="E230" s="35" t="s">
        <v>1182</v>
      </c>
      <c r="F230" s="9" t="s">
        <v>1598</v>
      </c>
      <c r="G230" s="10" t="s">
        <v>435</v>
      </c>
      <c r="H230" s="30" t="s">
        <v>1391</v>
      </c>
      <c r="I230" s="30" t="s">
        <v>1391</v>
      </c>
      <c r="J230" s="10" t="s">
        <v>438</v>
      </c>
      <c r="K230" s="10" t="s">
        <v>439</v>
      </c>
      <c r="L230" s="10" t="s">
        <v>439</v>
      </c>
    </row>
    <row r="231" spans="1:12" ht="58" x14ac:dyDescent="0.35">
      <c r="A231" s="30" t="s">
        <v>1599</v>
      </c>
      <c r="B231" s="30" t="s">
        <v>1600</v>
      </c>
      <c r="C231" s="30" t="s">
        <v>1342</v>
      </c>
      <c r="D231" s="30" t="s">
        <v>1543</v>
      </c>
      <c r="E231" s="35" t="s">
        <v>568</v>
      </c>
      <c r="F231" s="9" t="s">
        <v>1601</v>
      </c>
      <c r="G231" s="10" t="s">
        <v>435</v>
      </c>
      <c r="H231" s="30" t="s">
        <v>1344</v>
      </c>
      <c r="I231" s="30" t="s">
        <v>1344</v>
      </c>
      <c r="J231" s="10" t="s">
        <v>438</v>
      </c>
      <c r="K231" s="10" t="s">
        <v>439</v>
      </c>
      <c r="L231" s="10" t="s">
        <v>439</v>
      </c>
    </row>
    <row r="232" spans="1:12" ht="58" x14ac:dyDescent="0.35">
      <c r="A232" s="30" t="s">
        <v>1602</v>
      </c>
      <c r="B232" s="30" t="s">
        <v>1603</v>
      </c>
      <c r="C232" s="30" t="s">
        <v>1604</v>
      </c>
      <c r="D232" s="30" t="s">
        <v>1605</v>
      </c>
      <c r="E232" s="35" t="s">
        <v>568</v>
      </c>
      <c r="F232" s="9" t="s">
        <v>1606</v>
      </c>
      <c r="G232" s="10" t="s">
        <v>435</v>
      </c>
      <c r="H232" s="30" t="s">
        <v>1607</v>
      </c>
      <c r="I232" s="30" t="s">
        <v>1607</v>
      </c>
      <c r="J232" s="10" t="s">
        <v>438</v>
      </c>
      <c r="K232" s="10" t="s">
        <v>439</v>
      </c>
      <c r="L232" s="10" t="s">
        <v>439</v>
      </c>
    </row>
    <row r="233" spans="1:12" ht="58" x14ac:dyDescent="0.35">
      <c r="A233" s="30" t="s">
        <v>1608</v>
      </c>
      <c r="B233" s="30" t="s">
        <v>1609</v>
      </c>
      <c r="C233" s="30" t="s">
        <v>1460</v>
      </c>
      <c r="D233" s="30" t="s">
        <v>1543</v>
      </c>
      <c r="E233" s="35" t="s">
        <v>568</v>
      </c>
      <c r="F233" s="9" t="s">
        <v>1610</v>
      </c>
      <c r="G233" s="10" t="s">
        <v>435</v>
      </c>
      <c r="H233" s="30" t="s">
        <v>1462</v>
      </c>
      <c r="I233" s="30" t="s">
        <v>1462</v>
      </c>
      <c r="J233" s="10" t="s">
        <v>438</v>
      </c>
      <c r="K233" s="10" t="s">
        <v>439</v>
      </c>
      <c r="L233" s="10" t="s">
        <v>439</v>
      </c>
    </row>
    <row r="234" spans="1:12" ht="87" x14ac:dyDescent="0.35">
      <c r="A234" s="30" t="s">
        <v>1611</v>
      </c>
      <c r="B234" s="30" t="s">
        <v>1612</v>
      </c>
      <c r="C234" s="30" t="s">
        <v>737</v>
      </c>
      <c r="D234" s="30" t="s">
        <v>1543</v>
      </c>
      <c r="E234" s="35" t="s">
        <v>1182</v>
      </c>
      <c r="F234" s="9" t="s">
        <v>1613</v>
      </c>
      <c r="G234" s="10" t="s">
        <v>435</v>
      </c>
      <c r="H234" s="30" t="s">
        <v>1466</v>
      </c>
      <c r="I234" s="30" t="s">
        <v>1466</v>
      </c>
      <c r="J234" s="10" t="s">
        <v>438</v>
      </c>
      <c r="K234" s="10" t="s">
        <v>439</v>
      </c>
      <c r="L234" s="10" t="s">
        <v>439</v>
      </c>
    </row>
    <row r="235" spans="1:12" ht="58" x14ac:dyDescent="0.35">
      <c r="A235" s="30" t="s">
        <v>1614</v>
      </c>
      <c r="B235" s="30" t="s">
        <v>1615</v>
      </c>
      <c r="C235" s="30" t="s">
        <v>1235</v>
      </c>
      <c r="D235" s="30" t="s">
        <v>1543</v>
      </c>
      <c r="E235" s="35" t="s">
        <v>568</v>
      </c>
      <c r="F235" s="9" t="s">
        <v>1616</v>
      </c>
      <c r="G235" s="10" t="s">
        <v>435</v>
      </c>
      <c r="H235" s="30" t="s">
        <v>1470</v>
      </c>
      <c r="I235" s="30" t="s">
        <v>1565</v>
      </c>
      <c r="J235" s="10" t="s">
        <v>470</v>
      </c>
      <c r="K235" s="10" t="s">
        <v>439</v>
      </c>
      <c r="L235" s="10" t="s">
        <v>439</v>
      </c>
    </row>
    <row r="236" spans="1:12" ht="58" x14ac:dyDescent="0.35">
      <c r="A236" s="30" t="s">
        <v>1617</v>
      </c>
      <c r="B236" s="30" t="s">
        <v>1472</v>
      </c>
      <c r="C236" s="30" t="s">
        <v>1239</v>
      </c>
      <c r="D236" s="30" t="s">
        <v>1543</v>
      </c>
      <c r="E236" s="35" t="s">
        <v>568</v>
      </c>
      <c r="F236" s="9" t="s">
        <v>1618</v>
      </c>
      <c r="G236" s="10" t="s">
        <v>435</v>
      </c>
      <c r="H236" s="30" t="s">
        <v>1619</v>
      </c>
      <c r="I236" s="30" t="s">
        <v>1565</v>
      </c>
      <c r="J236" s="10" t="s">
        <v>470</v>
      </c>
      <c r="K236" s="10" t="s">
        <v>439</v>
      </c>
      <c r="L236" s="10" t="s">
        <v>439</v>
      </c>
    </row>
    <row r="237" spans="1:12" ht="58" x14ac:dyDescent="0.35">
      <c r="A237" s="30" t="s">
        <v>1620</v>
      </c>
      <c r="B237" s="30" t="s">
        <v>1481</v>
      </c>
      <c r="C237" s="30" t="s">
        <v>1482</v>
      </c>
      <c r="D237" s="30" t="s">
        <v>1543</v>
      </c>
      <c r="E237" s="35" t="s">
        <v>568</v>
      </c>
      <c r="F237" s="9" t="s">
        <v>1621</v>
      </c>
      <c r="G237" s="10" t="s">
        <v>484</v>
      </c>
      <c r="H237" s="30" t="s">
        <v>1622</v>
      </c>
      <c r="I237" s="30" t="s">
        <v>1565</v>
      </c>
      <c r="J237" s="10" t="s">
        <v>470</v>
      </c>
      <c r="K237" s="10" t="s">
        <v>439</v>
      </c>
      <c r="L237" s="10" t="s">
        <v>439</v>
      </c>
    </row>
    <row r="238" spans="1:12" ht="58" x14ac:dyDescent="0.35">
      <c r="A238" s="30" t="s">
        <v>1623</v>
      </c>
      <c r="B238" s="30" t="s">
        <v>1486</v>
      </c>
      <c r="C238" s="30" t="s">
        <v>1250</v>
      </c>
      <c r="D238" s="30" t="s">
        <v>1543</v>
      </c>
      <c r="E238" s="35" t="s">
        <v>568</v>
      </c>
      <c r="F238" s="9" t="s">
        <v>1624</v>
      </c>
      <c r="G238" s="10" t="s">
        <v>538</v>
      </c>
      <c r="H238" s="30" t="s">
        <v>1488</v>
      </c>
      <c r="I238" s="30" t="s">
        <v>1565</v>
      </c>
      <c r="J238" s="10" t="s">
        <v>470</v>
      </c>
      <c r="K238" s="10" t="s">
        <v>439</v>
      </c>
      <c r="L238" s="10" t="s">
        <v>439</v>
      </c>
    </row>
    <row r="239" spans="1:12" ht="58" x14ac:dyDescent="0.35">
      <c r="A239" s="30" t="s">
        <v>1625</v>
      </c>
      <c r="B239" s="30" t="s">
        <v>1490</v>
      </c>
      <c r="C239" s="30" t="s">
        <v>1262</v>
      </c>
      <c r="D239" s="30" t="s">
        <v>1543</v>
      </c>
      <c r="E239" s="35" t="s">
        <v>568</v>
      </c>
      <c r="F239" s="9" t="s">
        <v>1626</v>
      </c>
      <c r="G239" s="10" t="s">
        <v>484</v>
      </c>
      <c r="H239" s="30" t="s">
        <v>1627</v>
      </c>
      <c r="I239" s="30" t="s">
        <v>1628</v>
      </c>
      <c r="J239" s="10" t="s">
        <v>438</v>
      </c>
      <c r="K239" s="10" t="s">
        <v>439</v>
      </c>
      <c r="L239" s="10" t="s">
        <v>439</v>
      </c>
    </row>
    <row r="240" spans="1:12" ht="58" x14ac:dyDescent="0.35">
      <c r="A240" s="30" t="s">
        <v>1629</v>
      </c>
      <c r="B240" s="30" t="s">
        <v>1630</v>
      </c>
      <c r="C240" s="30" t="s">
        <v>1495</v>
      </c>
      <c r="D240" s="30" t="s">
        <v>1543</v>
      </c>
      <c r="E240" s="35" t="s">
        <v>568</v>
      </c>
      <c r="F240" s="9" t="s">
        <v>1631</v>
      </c>
      <c r="G240" s="10" t="s">
        <v>435</v>
      </c>
      <c r="H240" s="30" t="s">
        <v>1497</v>
      </c>
      <c r="I240" s="30" t="s">
        <v>1497</v>
      </c>
      <c r="J240" s="10" t="s">
        <v>438</v>
      </c>
      <c r="K240" s="10" t="s">
        <v>439</v>
      </c>
      <c r="L240" s="10" t="s">
        <v>439</v>
      </c>
    </row>
    <row r="241" spans="1:12" ht="188.5" x14ac:dyDescent="0.35">
      <c r="A241" s="30" t="s">
        <v>1632</v>
      </c>
      <c r="B241" s="30" t="s">
        <v>1499</v>
      </c>
      <c r="C241" s="30" t="s">
        <v>697</v>
      </c>
      <c r="D241" s="30" t="s">
        <v>1543</v>
      </c>
      <c r="E241" s="35" t="s">
        <v>1182</v>
      </c>
      <c r="F241" s="9" t="s">
        <v>1633</v>
      </c>
      <c r="G241" s="10" t="s">
        <v>538</v>
      </c>
      <c r="H241" s="30" t="s">
        <v>699</v>
      </c>
      <c r="I241" s="30" t="s">
        <v>1501</v>
      </c>
      <c r="J241" s="10" t="s">
        <v>470</v>
      </c>
      <c r="K241" s="10" t="s">
        <v>439</v>
      </c>
      <c r="L241" s="10" t="s">
        <v>439</v>
      </c>
    </row>
    <row r="242" spans="1:12" ht="58" x14ac:dyDescent="0.35">
      <c r="A242" s="30" t="s">
        <v>1634</v>
      </c>
      <c r="B242" s="30" t="s">
        <v>1508</v>
      </c>
      <c r="C242" s="30" t="s">
        <v>842</v>
      </c>
      <c r="D242" s="30" t="s">
        <v>1543</v>
      </c>
      <c r="E242" s="35" t="s">
        <v>568</v>
      </c>
      <c r="F242" s="9" t="s">
        <v>1635</v>
      </c>
      <c r="G242" s="10" t="s">
        <v>435</v>
      </c>
      <c r="H242" s="30" t="s">
        <v>1636</v>
      </c>
      <c r="I242" s="30" t="s">
        <v>1511</v>
      </c>
      <c r="J242" s="10" t="s">
        <v>470</v>
      </c>
      <c r="K242" s="10" t="s">
        <v>439</v>
      </c>
      <c r="L242" s="10" t="s">
        <v>439</v>
      </c>
    </row>
    <row r="243" spans="1:12" ht="58" x14ac:dyDescent="0.35">
      <c r="A243" s="30" t="s">
        <v>1637</v>
      </c>
      <c r="B243" s="30" t="s">
        <v>1638</v>
      </c>
      <c r="C243" s="30" t="s">
        <v>1639</v>
      </c>
      <c r="D243" s="30" t="s">
        <v>1543</v>
      </c>
      <c r="E243" s="35" t="s">
        <v>1640</v>
      </c>
      <c r="F243" s="9" t="s">
        <v>1641</v>
      </c>
      <c r="G243" s="10" t="s">
        <v>435</v>
      </c>
      <c r="H243" s="30" t="s">
        <v>1642</v>
      </c>
      <c r="I243" s="30" t="s">
        <v>1565</v>
      </c>
      <c r="J243" s="10" t="s">
        <v>470</v>
      </c>
      <c r="K243" s="10" t="s">
        <v>439</v>
      </c>
      <c r="L243" s="10" t="s">
        <v>439</v>
      </c>
    </row>
    <row r="244" spans="1:12" ht="58" x14ac:dyDescent="0.35">
      <c r="A244" s="30" t="s">
        <v>1643</v>
      </c>
      <c r="B244" s="30" t="s">
        <v>830</v>
      </c>
      <c r="C244" s="30" t="s">
        <v>831</v>
      </c>
      <c r="D244" s="30" t="s">
        <v>1543</v>
      </c>
      <c r="E244" s="35" t="s">
        <v>832</v>
      </c>
      <c r="F244" s="9" t="s">
        <v>1531</v>
      </c>
      <c r="G244" s="10" t="s">
        <v>435</v>
      </c>
      <c r="H244" s="30" t="s">
        <v>1644</v>
      </c>
      <c r="I244" s="30" t="s">
        <v>1644</v>
      </c>
      <c r="J244" s="10" t="s">
        <v>438</v>
      </c>
      <c r="K244" s="10" t="s">
        <v>439</v>
      </c>
      <c r="L244" s="10" t="s">
        <v>439</v>
      </c>
    </row>
    <row r="245" spans="1:12" ht="58" x14ac:dyDescent="0.35">
      <c r="A245" s="30" t="s">
        <v>1645</v>
      </c>
      <c r="B245" s="30" t="s">
        <v>851</v>
      </c>
      <c r="C245" s="30" t="s">
        <v>1646</v>
      </c>
      <c r="D245" s="30" t="s">
        <v>1543</v>
      </c>
      <c r="E245" s="35" t="s">
        <v>853</v>
      </c>
      <c r="F245" s="9" t="s">
        <v>1544</v>
      </c>
      <c r="G245" s="10" t="s">
        <v>435</v>
      </c>
      <c r="H245" s="30" t="s">
        <v>1647</v>
      </c>
      <c r="I245" s="30" t="s">
        <v>1565</v>
      </c>
      <c r="J245" s="10" t="s">
        <v>470</v>
      </c>
      <c r="K245" s="10" t="s">
        <v>439</v>
      </c>
      <c r="L245" s="10" t="s">
        <v>439</v>
      </c>
    </row>
    <row r="246" spans="1:12" ht="58" x14ac:dyDescent="0.35">
      <c r="A246" s="30" t="s">
        <v>1648</v>
      </c>
      <c r="B246" s="30" t="s">
        <v>1537</v>
      </c>
      <c r="C246" s="30" t="s">
        <v>847</v>
      </c>
      <c r="D246" s="30" t="s">
        <v>1543</v>
      </c>
      <c r="E246" s="35" t="s">
        <v>568</v>
      </c>
      <c r="F246" s="9" t="s">
        <v>1649</v>
      </c>
      <c r="G246" s="10" t="s">
        <v>484</v>
      </c>
      <c r="H246" s="30" t="s">
        <v>1539</v>
      </c>
      <c r="I246" s="30" t="s">
        <v>1539</v>
      </c>
      <c r="J246" s="10" t="s">
        <v>438</v>
      </c>
      <c r="K246" s="10" t="s">
        <v>439</v>
      </c>
      <c r="L246" s="10" t="s">
        <v>439</v>
      </c>
    </row>
    <row r="247" spans="1:12" s="29" customFormat="1" ht="26" x14ac:dyDescent="0.35">
      <c r="A247" s="31"/>
      <c r="B247" s="33" t="s">
        <v>3109</v>
      </c>
      <c r="C247" s="31"/>
      <c r="D247" s="31"/>
      <c r="E247" s="36"/>
      <c r="F247" s="28"/>
      <c r="G247" s="27"/>
      <c r="H247" s="31"/>
      <c r="I247" s="31"/>
      <c r="J247" s="27"/>
      <c r="K247" s="27"/>
      <c r="L247" s="27"/>
    </row>
    <row r="248" spans="1:12" ht="58" x14ac:dyDescent="0.35">
      <c r="A248" s="30" t="s">
        <v>1650</v>
      </c>
      <c r="B248" s="30" t="s">
        <v>1651</v>
      </c>
      <c r="C248" s="30" t="s">
        <v>1652</v>
      </c>
      <c r="D248" s="30" t="s">
        <v>1653</v>
      </c>
      <c r="E248" s="35" t="s">
        <v>568</v>
      </c>
      <c r="F248" s="9" t="s">
        <v>1654</v>
      </c>
      <c r="G248" s="10" t="s">
        <v>435</v>
      </c>
      <c r="H248" s="30" t="s">
        <v>1655</v>
      </c>
      <c r="I248" s="30" t="s">
        <v>1656</v>
      </c>
      <c r="J248" s="10" t="s">
        <v>470</v>
      </c>
      <c r="K248" s="10" t="s">
        <v>439</v>
      </c>
      <c r="L248" s="10" t="s">
        <v>439</v>
      </c>
    </row>
    <row r="249" spans="1:12" ht="58" x14ac:dyDescent="0.35">
      <c r="A249" s="30" t="s">
        <v>1657</v>
      </c>
      <c r="B249" s="30" t="s">
        <v>1658</v>
      </c>
      <c r="C249" s="30" t="s">
        <v>1659</v>
      </c>
      <c r="D249" s="30" t="s">
        <v>1653</v>
      </c>
      <c r="E249" s="35" t="s">
        <v>1660</v>
      </c>
      <c r="F249" s="9" t="s">
        <v>1661</v>
      </c>
      <c r="G249" s="10" t="s">
        <v>435</v>
      </c>
      <c r="H249" s="30" t="s">
        <v>1662</v>
      </c>
      <c r="I249" s="30" t="s">
        <v>1656</v>
      </c>
      <c r="J249" s="10" t="s">
        <v>470</v>
      </c>
      <c r="K249" s="10" t="s">
        <v>439</v>
      </c>
      <c r="L249" s="10" t="s">
        <v>439</v>
      </c>
    </row>
    <row r="250" spans="1:12" ht="58" x14ac:dyDescent="0.35">
      <c r="A250" s="30" t="s">
        <v>1663</v>
      </c>
      <c r="B250" s="30" t="s">
        <v>1664</v>
      </c>
      <c r="C250" s="30" t="s">
        <v>1665</v>
      </c>
      <c r="D250" s="30" t="s">
        <v>1653</v>
      </c>
      <c r="E250" s="35" t="s">
        <v>1666</v>
      </c>
      <c r="F250" s="9" t="s">
        <v>1667</v>
      </c>
      <c r="G250" s="10" t="s">
        <v>435</v>
      </c>
      <c r="H250" s="30" t="s">
        <v>1668</v>
      </c>
      <c r="I250" s="30" t="s">
        <v>1656</v>
      </c>
      <c r="J250" s="10" t="s">
        <v>470</v>
      </c>
      <c r="K250" s="10" t="s">
        <v>439</v>
      </c>
      <c r="L250" s="10" t="s">
        <v>439</v>
      </c>
    </row>
    <row r="251" spans="1:12" ht="58" x14ac:dyDescent="0.35">
      <c r="A251" s="30" t="s">
        <v>1669</v>
      </c>
      <c r="B251" s="30" t="s">
        <v>1670</v>
      </c>
      <c r="C251" s="30" t="s">
        <v>1671</v>
      </c>
      <c r="D251" s="30" t="s">
        <v>1653</v>
      </c>
      <c r="E251" s="35" t="s">
        <v>1672</v>
      </c>
      <c r="F251" s="9" t="s">
        <v>1673</v>
      </c>
      <c r="G251" s="10" t="s">
        <v>435</v>
      </c>
      <c r="H251" s="30" t="s">
        <v>1674</v>
      </c>
      <c r="I251" s="30" t="s">
        <v>1656</v>
      </c>
      <c r="J251" s="10" t="s">
        <v>470</v>
      </c>
      <c r="K251" s="10" t="s">
        <v>439</v>
      </c>
      <c r="L251" s="10" t="s">
        <v>439</v>
      </c>
    </row>
    <row r="252" spans="1:12" ht="58" x14ac:dyDescent="0.35">
      <c r="A252" s="30" t="s">
        <v>1675</v>
      </c>
      <c r="B252" s="30" t="s">
        <v>1676</v>
      </c>
      <c r="C252" s="30" t="s">
        <v>1677</v>
      </c>
      <c r="D252" s="30" t="s">
        <v>1653</v>
      </c>
      <c r="E252" s="35" t="s">
        <v>568</v>
      </c>
      <c r="F252" s="9" t="s">
        <v>1678</v>
      </c>
      <c r="G252" s="10" t="s">
        <v>484</v>
      </c>
      <c r="H252" s="30" t="s">
        <v>1679</v>
      </c>
      <c r="I252" s="30" t="s">
        <v>1656</v>
      </c>
      <c r="J252" s="10" t="s">
        <v>470</v>
      </c>
      <c r="K252" s="10" t="s">
        <v>439</v>
      </c>
      <c r="L252" s="10" t="s">
        <v>439</v>
      </c>
    </row>
    <row r="253" spans="1:12" ht="58" x14ac:dyDescent="0.35">
      <c r="A253" s="30" t="s">
        <v>1680</v>
      </c>
      <c r="B253" s="30" t="s">
        <v>1681</v>
      </c>
      <c r="C253" s="30" t="s">
        <v>1682</v>
      </c>
      <c r="D253" s="30" t="s">
        <v>1653</v>
      </c>
      <c r="E253" s="35" t="s">
        <v>568</v>
      </c>
      <c r="F253" s="9" t="s">
        <v>1683</v>
      </c>
      <c r="G253" s="10" t="s">
        <v>435</v>
      </c>
      <c r="H253" s="30" t="s">
        <v>1684</v>
      </c>
      <c r="I253" s="30" t="s">
        <v>1656</v>
      </c>
      <c r="J253" s="10" t="s">
        <v>470</v>
      </c>
      <c r="K253" s="10" t="s">
        <v>439</v>
      </c>
      <c r="L253" s="10" t="s">
        <v>439</v>
      </c>
    </row>
    <row r="254" spans="1:12" ht="58" x14ac:dyDescent="0.35">
      <c r="A254" s="30" t="s">
        <v>1685</v>
      </c>
      <c r="B254" s="30" t="s">
        <v>1686</v>
      </c>
      <c r="C254" s="30" t="s">
        <v>1687</v>
      </c>
      <c r="D254" s="30" t="s">
        <v>1653</v>
      </c>
      <c r="E254" s="35" t="s">
        <v>568</v>
      </c>
      <c r="F254" s="9" t="s">
        <v>1688</v>
      </c>
      <c r="G254" s="10" t="s">
        <v>435</v>
      </c>
      <c r="H254" s="30" t="s">
        <v>1689</v>
      </c>
      <c r="I254" s="30" t="s">
        <v>1690</v>
      </c>
      <c r="J254" s="10" t="s">
        <v>438</v>
      </c>
      <c r="K254" s="10" t="s">
        <v>439</v>
      </c>
      <c r="L254" s="10" t="s">
        <v>439</v>
      </c>
    </row>
    <row r="255" spans="1:12" ht="58" x14ac:dyDescent="0.35">
      <c r="A255" s="30" t="s">
        <v>1691</v>
      </c>
      <c r="B255" s="30" t="s">
        <v>1692</v>
      </c>
      <c r="C255" s="30" t="s">
        <v>1693</v>
      </c>
      <c r="D255" s="30" t="s">
        <v>1653</v>
      </c>
      <c r="E255" s="35" t="s">
        <v>568</v>
      </c>
      <c r="F255" s="9" t="s">
        <v>1694</v>
      </c>
      <c r="G255" s="10" t="s">
        <v>435</v>
      </c>
      <c r="H255" s="30" t="s">
        <v>1695</v>
      </c>
      <c r="I255" s="30" t="s">
        <v>1695</v>
      </c>
      <c r="J255" s="10" t="s">
        <v>438</v>
      </c>
      <c r="K255" s="10" t="s">
        <v>439</v>
      </c>
      <c r="L255" s="10" t="s">
        <v>439</v>
      </c>
    </row>
    <row r="256" spans="1:12" ht="58" x14ac:dyDescent="0.35">
      <c r="A256" s="30" t="s">
        <v>1696</v>
      </c>
      <c r="B256" s="30" t="s">
        <v>1697</v>
      </c>
      <c r="C256" s="30" t="s">
        <v>1698</v>
      </c>
      <c r="D256" s="30" t="s">
        <v>1653</v>
      </c>
      <c r="E256" s="35" t="s">
        <v>568</v>
      </c>
      <c r="F256" s="9" t="s">
        <v>1699</v>
      </c>
      <c r="G256" s="10" t="s">
        <v>435</v>
      </c>
      <c r="H256" s="30" t="s">
        <v>1700</v>
      </c>
      <c r="I256" s="30" t="s">
        <v>1700</v>
      </c>
      <c r="J256" s="10" t="s">
        <v>438</v>
      </c>
      <c r="K256" s="10" t="s">
        <v>439</v>
      </c>
      <c r="L256" s="10" t="s">
        <v>439</v>
      </c>
    </row>
    <row r="257" spans="1:12" ht="58" x14ac:dyDescent="0.35">
      <c r="A257" s="30" t="s">
        <v>1701</v>
      </c>
      <c r="B257" s="30" t="s">
        <v>1702</v>
      </c>
      <c r="C257" s="30" t="s">
        <v>831</v>
      </c>
      <c r="D257" s="30" t="s">
        <v>1653</v>
      </c>
      <c r="E257" s="35" t="s">
        <v>832</v>
      </c>
      <c r="F257" s="9" t="s">
        <v>1703</v>
      </c>
      <c r="G257" s="10" t="s">
        <v>435</v>
      </c>
      <c r="H257" s="30" t="s">
        <v>1704</v>
      </c>
      <c r="I257" s="30" t="s">
        <v>1704</v>
      </c>
      <c r="J257" s="10" t="s">
        <v>438</v>
      </c>
      <c r="K257" s="10" t="s">
        <v>439</v>
      </c>
      <c r="L257" s="10" t="s">
        <v>439</v>
      </c>
    </row>
    <row r="258" spans="1:12" ht="87" x14ac:dyDescent="0.35">
      <c r="A258" s="30" t="s">
        <v>1705</v>
      </c>
      <c r="B258" s="30" t="s">
        <v>1706</v>
      </c>
      <c r="C258" s="30" t="s">
        <v>737</v>
      </c>
      <c r="D258" s="30" t="s">
        <v>1653</v>
      </c>
      <c r="E258" s="35" t="s">
        <v>1182</v>
      </c>
      <c r="F258" s="9" t="s">
        <v>1707</v>
      </c>
      <c r="G258" s="10" t="s">
        <v>435</v>
      </c>
      <c r="H258" s="30" t="s">
        <v>1391</v>
      </c>
      <c r="I258" s="30" t="s">
        <v>1391</v>
      </c>
      <c r="J258" s="10" t="s">
        <v>438</v>
      </c>
      <c r="K258" s="10" t="s">
        <v>439</v>
      </c>
      <c r="L258" s="10" t="s">
        <v>439</v>
      </c>
    </row>
    <row r="259" spans="1:12" ht="87" x14ac:dyDescent="0.35">
      <c r="A259" s="30" t="s">
        <v>1708</v>
      </c>
      <c r="B259" s="30" t="s">
        <v>1709</v>
      </c>
      <c r="C259" s="30" t="s">
        <v>737</v>
      </c>
      <c r="D259" s="30" t="s">
        <v>1653</v>
      </c>
      <c r="E259" s="35" t="s">
        <v>1182</v>
      </c>
      <c r="F259" s="9" t="s">
        <v>1710</v>
      </c>
      <c r="G259" s="10" t="s">
        <v>435</v>
      </c>
      <c r="H259" s="30" t="s">
        <v>1391</v>
      </c>
      <c r="I259" s="30" t="s">
        <v>1391</v>
      </c>
      <c r="J259" s="10" t="s">
        <v>438</v>
      </c>
      <c r="K259" s="10" t="s">
        <v>439</v>
      </c>
      <c r="L259" s="10" t="s">
        <v>439</v>
      </c>
    </row>
    <row r="260" spans="1:12" ht="58" x14ac:dyDescent="0.35">
      <c r="A260" s="30" t="s">
        <v>1711</v>
      </c>
      <c r="B260" s="30" t="s">
        <v>1712</v>
      </c>
      <c r="C260" s="30" t="s">
        <v>1713</v>
      </c>
      <c r="D260" s="30" t="s">
        <v>1653</v>
      </c>
      <c r="E260" s="35" t="s">
        <v>568</v>
      </c>
      <c r="F260" s="9" t="s">
        <v>1714</v>
      </c>
      <c r="G260" s="10" t="s">
        <v>435</v>
      </c>
      <c r="H260" s="30" t="s">
        <v>1344</v>
      </c>
      <c r="I260" s="30" t="s">
        <v>1344</v>
      </c>
      <c r="J260" s="10" t="s">
        <v>438</v>
      </c>
      <c r="K260" s="10" t="s">
        <v>439</v>
      </c>
      <c r="L260" s="10" t="s">
        <v>439</v>
      </c>
    </row>
    <row r="261" spans="1:12" ht="58" x14ac:dyDescent="0.35">
      <c r="A261" s="30" t="s">
        <v>1715</v>
      </c>
      <c r="B261" s="30" t="s">
        <v>1716</v>
      </c>
      <c r="C261" s="30" t="s">
        <v>1717</v>
      </c>
      <c r="D261" s="30" t="s">
        <v>1653</v>
      </c>
      <c r="E261" s="35" t="s">
        <v>568</v>
      </c>
      <c r="F261" s="9" t="s">
        <v>1718</v>
      </c>
      <c r="G261" s="10" t="s">
        <v>435</v>
      </c>
      <c r="H261" s="30" t="s">
        <v>1719</v>
      </c>
      <c r="I261" s="30" t="s">
        <v>1719</v>
      </c>
      <c r="J261" s="10" t="s">
        <v>438</v>
      </c>
      <c r="K261" s="10" t="s">
        <v>439</v>
      </c>
      <c r="L261" s="10" t="s">
        <v>439</v>
      </c>
    </row>
    <row r="262" spans="1:12" ht="58" x14ac:dyDescent="0.35">
      <c r="A262" s="30" t="s">
        <v>1720</v>
      </c>
      <c r="B262" s="30" t="s">
        <v>1721</v>
      </c>
      <c r="C262" s="30" t="s">
        <v>1460</v>
      </c>
      <c r="D262" s="30" t="s">
        <v>1653</v>
      </c>
      <c r="E262" s="35" t="s">
        <v>568</v>
      </c>
      <c r="F262" s="9" t="s">
        <v>1722</v>
      </c>
      <c r="G262" s="10" t="s">
        <v>435</v>
      </c>
      <c r="H262" s="30" t="s">
        <v>1462</v>
      </c>
      <c r="I262" s="30" t="s">
        <v>1462</v>
      </c>
      <c r="J262" s="10" t="s">
        <v>438</v>
      </c>
      <c r="K262" s="10" t="s">
        <v>439</v>
      </c>
      <c r="L262" s="10" t="s">
        <v>439</v>
      </c>
    </row>
    <row r="263" spans="1:12" ht="101.5" x14ac:dyDescent="0.35">
      <c r="A263" s="30" t="s">
        <v>1723</v>
      </c>
      <c r="B263" s="30" t="s">
        <v>1724</v>
      </c>
      <c r="C263" s="30" t="s">
        <v>737</v>
      </c>
      <c r="D263" s="30" t="s">
        <v>1653</v>
      </c>
      <c r="E263" s="35" t="s">
        <v>1182</v>
      </c>
      <c r="F263" s="9" t="s">
        <v>1725</v>
      </c>
      <c r="G263" s="10" t="s">
        <v>435</v>
      </c>
      <c r="H263" s="30" t="s">
        <v>1466</v>
      </c>
      <c r="I263" s="30" t="s">
        <v>1466</v>
      </c>
      <c r="J263" s="10" t="s">
        <v>438</v>
      </c>
      <c r="K263" s="10" t="s">
        <v>439</v>
      </c>
      <c r="L263" s="10" t="s">
        <v>439</v>
      </c>
    </row>
    <row r="264" spans="1:12" ht="58" x14ac:dyDescent="0.35">
      <c r="A264" s="30" t="s">
        <v>1726</v>
      </c>
      <c r="B264" s="30" t="s">
        <v>1727</v>
      </c>
      <c r="C264" s="30" t="s">
        <v>1728</v>
      </c>
      <c r="D264" s="30" t="s">
        <v>1653</v>
      </c>
      <c r="E264" s="35" t="s">
        <v>568</v>
      </c>
      <c r="F264" s="9" t="s">
        <v>1729</v>
      </c>
      <c r="G264" s="10" t="s">
        <v>484</v>
      </c>
      <c r="H264" s="30" t="s">
        <v>1730</v>
      </c>
      <c r="I264" s="30" t="s">
        <v>1656</v>
      </c>
      <c r="J264" s="10" t="s">
        <v>470</v>
      </c>
      <c r="K264" s="10" t="s">
        <v>439</v>
      </c>
      <c r="L264" s="10" t="s">
        <v>439</v>
      </c>
    </row>
    <row r="265" spans="1:12" ht="58" x14ac:dyDescent="0.35">
      <c r="A265" s="30" t="s">
        <v>1731</v>
      </c>
      <c r="B265" s="30" t="s">
        <v>1732</v>
      </c>
      <c r="C265" s="30" t="s">
        <v>1733</v>
      </c>
      <c r="D265" s="30" t="s">
        <v>1653</v>
      </c>
      <c r="E265" s="35" t="s">
        <v>568</v>
      </c>
      <c r="F265" s="9" t="s">
        <v>1734</v>
      </c>
      <c r="G265" s="10" t="s">
        <v>435</v>
      </c>
      <c r="H265" s="30" t="s">
        <v>1735</v>
      </c>
      <c r="I265" s="30" t="s">
        <v>1656</v>
      </c>
      <c r="J265" s="10" t="s">
        <v>470</v>
      </c>
      <c r="K265" s="10" t="s">
        <v>439</v>
      </c>
      <c r="L265" s="10" t="s">
        <v>439</v>
      </c>
    </row>
    <row r="266" spans="1:12" ht="58" x14ac:dyDescent="0.35">
      <c r="A266" s="30" t="s">
        <v>1736</v>
      </c>
      <c r="B266" s="30" t="s">
        <v>1737</v>
      </c>
      <c r="C266" s="30" t="s">
        <v>1482</v>
      </c>
      <c r="D266" s="30" t="s">
        <v>1653</v>
      </c>
      <c r="E266" s="35" t="s">
        <v>568</v>
      </c>
      <c r="F266" s="9" t="s">
        <v>1738</v>
      </c>
      <c r="G266" s="10" t="s">
        <v>484</v>
      </c>
      <c r="H266" s="30" t="s">
        <v>1739</v>
      </c>
      <c r="I266" s="30" t="s">
        <v>1656</v>
      </c>
      <c r="J266" s="10" t="s">
        <v>470</v>
      </c>
      <c r="K266" s="10" t="s">
        <v>439</v>
      </c>
      <c r="L266" s="10" t="s">
        <v>439</v>
      </c>
    </row>
    <row r="267" spans="1:12" ht="58" x14ac:dyDescent="0.35">
      <c r="A267" s="30" t="s">
        <v>1740</v>
      </c>
      <c r="B267" s="30" t="s">
        <v>1741</v>
      </c>
      <c r="C267" s="30" t="s">
        <v>1250</v>
      </c>
      <c r="D267" s="30" t="s">
        <v>1653</v>
      </c>
      <c r="E267" s="35" t="s">
        <v>568</v>
      </c>
      <c r="F267" s="9" t="s">
        <v>1742</v>
      </c>
      <c r="G267" s="10" t="s">
        <v>538</v>
      </c>
      <c r="H267" s="30" t="s">
        <v>1743</v>
      </c>
      <c r="I267" s="30" t="s">
        <v>1656</v>
      </c>
      <c r="J267" s="10" t="s">
        <v>470</v>
      </c>
      <c r="K267" s="10" t="s">
        <v>439</v>
      </c>
      <c r="L267" s="10" t="s">
        <v>439</v>
      </c>
    </row>
    <row r="268" spans="1:12" ht="58" x14ac:dyDescent="0.35">
      <c r="A268" s="30" t="s">
        <v>1744</v>
      </c>
      <c r="B268" s="30" t="s">
        <v>1745</v>
      </c>
      <c r="C268" s="30" t="s">
        <v>1495</v>
      </c>
      <c r="D268" s="30" t="s">
        <v>1653</v>
      </c>
      <c r="E268" s="35" t="s">
        <v>568</v>
      </c>
      <c r="F268" s="9" t="s">
        <v>1746</v>
      </c>
      <c r="G268" s="10" t="s">
        <v>435</v>
      </c>
      <c r="H268" s="30" t="s">
        <v>1497</v>
      </c>
      <c r="I268" s="30" t="s">
        <v>1497</v>
      </c>
      <c r="J268" s="10" t="s">
        <v>438</v>
      </c>
      <c r="K268" s="10" t="s">
        <v>439</v>
      </c>
      <c r="L268" s="10" t="s">
        <v>439</v>
      </c>
    </row>
    <row r="269" spans="1:12" ht="203" x14ac:dyDescent="0.35">
      <c r="A269" s="30" t="s">
        <v>1747</v>
      </c>
      <c r="B269" s="30" t="s">
        <v>1748</v>
      </c>
      <c r="C269" s="30" t="s">
        <v>1749</v>
      </c>
      <c r="D269" s="30" t="s">
        <v>1653</v>
      </c>
      <c r="E269" s="35" t="s">
        <v>1182</v>
      </c>
      <c r="F269" s="9" t="s">
        <v>1750</v>
      </c>
      <c r="G269" s="10" t="s">
        <v>538</v>
      </c>
      <c r="H269" s="30" t="s">
        <v>1751</v>
      </c>
      <c r="I269" s="30" t="s">
        <v>1752</v>
      </c>
      <c r="J269" s="10" t="s">
        <v>470</v>
      </c>
      <c r="K269" s="10" t="s">
        <v>439</v>
      </c>
      <c r="L269" s="10" t="s">
        <v>439</v>
      </c>
    </row>
    <row r="270" spans="1:12" ht="72.5" x14ac:dyDescent="0.35">
      <c r="A270" s="30" t="s">
        <v>1753</v>
      </c>
      <c r="B270" s="30" t="s">
        <v>1754</v>
      </c>
      <c r="C270" s="30" t="s">
        <v>1755</v>
      </c>
      <c r="D270" s="30" t="s">
        <v>1756</v>
      </c>
      <c r="E270" s="35" t="s">
        <v>568</v>
      </c>
      <c r="F270" s="9" t="s">
        <v>1757</v>
      </c>
      <c r="G270" s="10" t="s">
        <v>435</v>
      </c>
      <c r="H270" s="30" t="s">
        <v>1758</v>
      </c>
      <c r="I270" s="30" t="s">
        <v>1758</v>
      </c>
      <c r="J270" s="10" t="s">
        <v>438</v>
      </c>
      <c r="K270" s="10" t="s">
        <v>439</v>
      </c>
      <c r="L270" s="10" t="s">
        <v>439</v>
      </c>
    </row>
    <row r="271" spans="1:12" ht="72.5" x14ac:dyDescent="0.35">
      <c r="A271" s="30" t="s">
        <v>1759</v>
      </c>
      <c r="B271" s="30" t="s">
        <v>1760</v>
      </c>
      <c r="C271" s="30" t="s">
        <v>1761</v>
      </c>
      <c r="D271" s="30" t="s">
        <v>1756</v>
      </c>
      <c r="E271" s="35" t="s">
        <v>568</v>
      </c>
      <c r="F271" s="9" t="s">
        <v>1762</v>
      </c>
      <c r="G271" s="10" t="s">
        <v>484</v>
      </c>
      <c r="H271" s="30" t="s">
        <v>1763</v>
      </c>
      <c r="I271" s="30" t="s">
        <v>1656</v>
      </c>
      <c r="J271" s="10" t="s">
        <v>470</v>
      </c>
      <c r="K271" s="10" t="s">
        <v>439</v>
      </c>
      <c r="L271" s="10" t="s">
        <v>439</v>
      </c>
    </row>
    <row r="272" spans="1:12" ht="72.5" x14ac:dyDescent="0.35">
      <c r="A272" s="30" t="s">
        <v>1764</v>
      </c>
      <c r="B272" s="30" t="s">
        <v>1765</v>
      </c>
      <c r="C272" s="30" t="s">
        <v>1766</v>
      </c>
      <c r="D272" s="30" t="s">
        <v>1653</v>
      </c>
      <c r="E272" s="35" t="s">
        <v>568</v>
      </c>
      <c r="F272" s="9" t="s">
        <v>1767</v>
      </c>
      <c r="G272" s="10" t="s">
        <v>435</v>
      </c>
      <c r="H272" s="30" t="s">
        <v>1768</v>
      </c>
      <c r="I272" s="30" t="s">
        <v>1656</v>
      </c>
      <c r="J272" s="10" t="s">
        <v>470</v>
      </c>
      <c r="K272" s="10" t="s">
        <v>439</v>
      </c>
      <c r="L272" s="10" t="s">
        <v>439</v>
      </c>
    </row>
    <row r="273" spans="1:12" ht="72.5" x14ac:dyDescent="0.35">
      <c r="A273" s="30" t="s">
        <v>1769</v>
      </c>
      <c r="B273" s="30" t="s">
        <v>1770</v>
      </c>
      <c r="C273" s="30" t="s">
        <v>1771</v>
      </c>
      <c r="D273" s="30" t="s">
        <v>1653</v>
      </c>
      <c r="E273" s="35" t="s">
        <v>568</v>
      </c>
      <c r="F273" s="9" t="s">
        <v>1772</v>
      </c>
      <c r="G273" s="10" t="s">
        <v>484</v>
      </c>
      <c r="H273" s="30" t="s">
        <v>1773</v>
      </c>
      <c r="I273" s="30" t="s">
        <v>1656</v>
      </c>
      <c r="J273" s="10" t="s">
        <v>470</v>
      </c>
      <c r="K273" s="10" t="s">
        <v>439</v>
      </c>
      <c r="L273" s="10" t="s">
        <v>439</v>
      </c>
    </row>
    <row r="274" spans="1:12" ht="58" x14ac:dyDescent="0.35">
      <c r="A274" s="30" t="s">
        <v>1774</v>
      </c>
      <c r="B274" s="30" t="s">
        <v>1775</v>
      </c>
      <c r="C274" s="30" t="s">
        <v>578</v>
      </c>
      <c r="D274" s="30" t="s">
        <v>1653</v>
      </c>
      <c r="E274" s="35" t="s">
        <v>579</v>
      </c>
      <c r="F274" s="9" t="s">
        <v>1654</v>
      </c>
      <c r="G274" s="10" t="s">
        <v>484</v>
      </c>
      <c r="H274" s="30" t="s">
        <v>1441</v>
      </c>
      <c r="I274" s="30" t="s">
        <v>1656</v>
      </c>
      <c r="J274" s="10" t="s">
        <v>470</v>
      </c>
      <c r="K274" s="10" t="s">
        <v>439</v>
      </c>
      <c r="L274" s="10" t="s">
        <v>439</v>
      </c>
    </row>
    <row r="275" spans="1:12" ht="58" x14ac:dyDescent="0.35">
      <c r="A275" s="30" t="s">
        <v>1776</v>
      </c>
      <c r="B275" s="30" t="s">
        <v>1777</v>
      </c>
      <c r="C275" s="30" t="s">
        <v>1778</v>
      </c>
      <c r="D275" s="30" t="s">
        <v>1653</v>
      </c>
      <c r="E275" s="35" t="s">
        <v>1779</v>
      </c>
      <c r="F275" s="9" t="s">
        <v>554</v>
      </c>
      <c r="G275" s="10" t="s">
        <v>484</v>
      </c>
      <c r="H275" s="30" t="s">
        <v>1780</v>
      </c>
      <c r="I275" s="30" t="s">
        <v>1780</v>
      </c>
      <c r="J275" s="10" t="s">
        <v>438</v>
      </c>
      <c r="K275" s="10" t="s">
        <v>439</v>
      </c>
      <c r="L275" s="10" t="s">
        <v>439</v>
      </c>
    </row>
    <row r="276" spans="1:12" ht="58" x14ac:dyDescent="0.35">
      <c r="A276" s="30" t="s">
        <v>1781</v>
      </c>
      <c r="B276" s="30" t="s">
        <v>1782</v>
      </c>
      <c r="C276" s="30" t="s">
        <v>1783</v>
      </c>
      <c r="D276" s="30" t="s">
        <v>1653</v>
      </c>
      <c r="E276" s="35" t="s">
        <v>853</v>
      </c>
      <c r="F276" s="9" t="s">
        <v>1654</v>
      </c>
      <c r="G276" s="10" t="s">
        <v>435</v>
      </c>
      <c r="H276" s="30" t="s">
        <v>1784</v>
      </c>
      <c r="I276" s="30" t="s">
        <v>1656</v>
      </c>
      <c r="J276" s="10" t="s">
        <v>470</v>
      </c>
      <c r="K276" s="10" t="s">
        <v>439</v>
      </c>
      <c r="L276" s="10" t="s">
        <v>439</v>
      </c>
    </row>
    <row r="277" spans="1:12" ht="58" x14ac:dyDescent="0.35">
      <c r="A277" s="30" t="s">
        <v>1785</v>
      </c>
      <c r="B277" s="30" t="s">
        <v>1786</v>
      </c>
      <c r="C277" s="30" t="s">
        <v>842</v>
      </c>
      <c r="D277" s="30" t="s">
        <v>1653</v>
      </c>
      <c r="E277" s="35" t="s">
        <v>568</v>
      </c>
      <c r="F277" s="9" t="s">
        <v>1787</v>
      </c>
      <c r="G277" s="10" t="s">
        <v>435</v>
      </c>
      <c r="H277" s="30" t="s">
        <v>1636</v>
      </c>
      <c r="I277" s="30" t="s">
        <v>1788</v>
      </c>
      <c r="J277" s="10" t="s">
        <v>470</v>
      </c>
      <c r="K277" s="10" t="s">
        <v>439</v>
      </c>
      <c r="L277" s="10" t="s">
        <v>439</v>
      </c>
    </row>
    <row r="278" spans="1:12" ht="58" x14ac:dyDescent="0.35">
      <c r="A278" s="30" t="s">
        <v>1789</v>
      </c>
      <c r="B278" s="30" t="s">
        <v>1790</v>
      </c>
      <c r="C278" s="30" t="s">
        <v>847</v>
      </c>
      <c r="D278" s="30" t="s">
        <v>1653</v>
      </c>
      <c r="E278" s="35" t="s">
        <v>568</v>
      </c>
      <c r="F278" s="9" t="s">
        <v>1791</v>
      </c>
      <c r="G278" s="10" t="s">
        <v>484</v>
      </c>
      <c r="H278" s="30" t="s">
        <v>1539</v>
      </c>
      <c r="I278" s="30" t="s">
        <v>1539</v>
      </c>
      <c r="J278" s="10" t="s">
        <v>470</v>
      </c>
      <c r="K278" s="10" t="s">
        <v>439</v>
      </c>
      <c r="L278" s="10" t="s">
        <v>439</v>
      </c>
    </row>
    <row r="279" spans="1:12" s="29" customFormat="1" ht="26" x14ac:dyDescent="0.35">
      <c r="A279" s="31"/>
      <c r="B279" s="33" t="s">
        <v>2408</v>
      </c>
      <c r="C279" s="31"/>
      <c r="D279" s="31"/>
      <c r="E279" s="36"/>
      <c r="F279" s="28"/>
      <c r="G279" s="27"/>
      <c r="H279" s="31"/>
      <c r="I279" s="31"/>
      <c r="J279" s="27"/>
      <c r="K279" s="27"/>
      <c r="L279" s="27"/>
    </row>
    <row r="280" spans="1:12" ht="43.5" x14ac:dyDescent="0.35">
      <c r="A280" s="30" t="s">
        <v>1792</v>
      </c>
      <c r="B280" s="30" t="s">
        <v>1793</v>
      </c>
      <c r="C280" s="30" t="s">
        <v>1794</v>
      </c>
      <c r="D280" s="30" t="s">
        <v>1795</v>
      </c>
      <c r="E280" s="35" t="s">
        <v>1796</v>
      </c>
      <c r="F280" s="9" t="s">
        <v>1797</v>
      </c>
      <c r="G280" s="10" t="s">
        <v>435</v>
      </c>
      <c r="H280" s="30" t="s">
        <v>1798</v>
      </c>
      <c r="I280" s="30" t="s">
        <v>1380</v>
      </c>
      <c r="J280" s="10" t="s">
        <v>470</v>
      </c>
      <c r="K280" s="10" t="s">
        <v>439</v>
      </c>
      <c r="L280" s="10" t="s">
        <v>439</v>
      </c>
    </row>
    <row r="281" spans="1:12" ht="29" x14ac:dyDescent="0.35">
      <c r="A281" s="30" t="s">
        <v>1799</v>
      </c>
      <c r="B281" s="30" t="s">
        <v>1800</v>
      </c>
      <c r="C281" s="30" t="s">
        <v>1801</v>
      </c>
      <c r="D281" s="30" t="s">
        <v>1802</v>
      </c>
      <c r="E281" s="35" t="s">
        <v>1796</v>
      </c>
      <c r="F281" s="9" t="s">
        <v>1797</v>
      </c>
      <c r="G281" s="10" t="s">
        <v>435</v>
      </c>
      <c r="H281" s="30" t="s">
        <v>1803</v>
      </c>
      <c r="I281" s="30" t="s">
        <v>1380</v>
      </c>
      <c r="J281" s="10" t="s">
        <v>470</v>
      </c>
      <c r="K281" s="10" t="s">
        <v>439</v>
      </c>
      <c r="L281" s="10" t="s">
        <v>439</v>
      </c>
    </row>
    <row r="282" spans="1:12" ht="58" x14ac:dyDescent="0.35">
      <c r="A282" s="30" t="s">
        <v>1804</v>
      </c>
      <c r="B282" s="30" t="s">
        <v>1805</v>
      </c>
      <c r="C282" s="30" t="s">
        <v>1806</v>
      </c>
      <c r="D282" s="30" t="s">
        <v>1807</v>
      </c>
      <c r="E282" s="35" t="s">
        <v>1182</v>
      </c>
      <c r="F282" s="9" t="s">
        <v>1808</v>
      </c>
      <c r="G282" s="10" t="s">
        <v>484</v>
      </c>
      <c r="H282" s="30" t="s">
        <v>1809</v>
      </c>
      <c r="I282" s="30" t="s">
        <v>1292</v>
      </c>
      <c r="J282" s="10" t="s">
        <v>678</v>
      </c>
      <c r="K282" s="10" t="s">
        <v>439</v>
      </c>
      <c r="L282" s="10" t="s">
        <v>439</v>
      </c>
    </row>
    <row r="283" spans="1:12" ht="43.5" x14ac:dyDescent="0.35">
      <c r="A283" s="30" t="s">
        <v>1810</v>
      </c>
      <c r="B283" s="30" t="s">
        <v>1811</v>
      </c>
      <c r="C283" s="30" t="s">
        <v>1812</v>
      </c>
      <c r="D283" s="30" t="s">
        <v>1813</v>
      </c>
      <c r="E283" s="35" t="s">
        <v>1814</v>
      </c>
      <c r="F283" s="9" t="s">
        <v>1815</v>
      </c>
      <c r="G283" s="10" t="s">
        <v>435</v>
      </c>
      <c r="H283" s="30" t="s">
        <v>1816</v>
      </c>
      <c r="I283" s="30" t="s">
        <v>1292</v>
      </c>
      <c r="J283" s="10" t="s">
        <v>678</v>
      </c>
      <c r="K283" s="10" t="s">
        <v>439</v>
      </c>
      <c r="L283" s="10" t="s">
        <v>439</v>
      </c>
    </row>
    <row r="284" spans="1:12" ht="58" x14ac:dyDescent="0.35">
      <c r="A284" s="30" t="s">
        <v>1817</v>
      </c>
      <c r="B284" s="30" t="s">
        <v>1818</v>
      </c>
      <c r="C284" s="30" t="s">
        <v>1819</v>
      </c>
      <c r="D284" s="30" t="s">
        <v>1820</v>
      </c>
      <c r="E284" s="35" t="s">
        <v>1821</v>
      </c>
      <c r="F284" s="9" t="s">
        <v>1822</v>
      </c>
      <c r="G284" s="10" t="s">
        <v>435</v>
      </c>
      <c r="H284" s="30" t="s">
        <v>1823</v>
      </c>
      <c r="I284" s="30" t="s">
        <v>1292</v>
      </c>
      <c r="J284" s="10" t="s">
        <v>678</v>
      </c>
      <c r="K284" s="10" t="s">
        <v>439</v>
      </c>
      <c r="L284" s="10" t="s">
        <v>439</v>
      </c>
    </row>
    <row r="285" spans="1:12" ht="58" x14ac:dyDescent="0.35">
      <c r="A285" s="30" t="s">
        <v>1824</v>
      </c>
      <c r="B285" s="30" t="s">
        <v>1825</v>
      </c>
      <c r="C285" s="30" t="s">
        <v>1826</v>
      </c>
      <c r="D285" s="30" t="s">
        <v>1827</v>
      </c>
      <c r="E285" s="35" t="s">
        <v>1828</v>
      </c>
      <c r="F285" s="9" t="s">
        <v>1829</v>
      </c>
      <c r="G285" s="10" t="s">
        <v>435</v>
      </c>
      <c r="H285" s="30" t="s">
        <v>1830</v>
      </c>
      <c r="I285" s="30" t="s">
        <v>1292</v>
      </c>
      <c r="J285" s="10" t="s">
        <v>678</v>
      </c>
      <c r="K285" s="10" t="s">
        <v>439</v>
      </c>
      <c r="L285" s="10" t="s">
        <v>439</v>
      </c>
    </row>
    <row r="286" spans="1:12" ht="43.5" x14ac:dyDescent="0.35">
      <c r="A286" s="30" t="s">
        <v>338</v>
      </c>
      <c r="B286" s="30" t="s">
        <v>1831</v>
      </c>
      <c r="C286" s="30" t="s">
        <v>1832</v>
      </c>
      <c r="D286" s="30" t="s">
        <v>1795</v>
      </c>
      <c r="E286" s="35" t="s">
        <v>1796</v>
      </c>
      <c r="F286" s="9" t="s">
        <v>1833</v>
      </c>
      <c r="G286" s="10" t="s">
        <v>538</v>
      </c>
      <c r="H286" s="30" t="s">
        <v>1834</v>
      </c>
      <c r="I286" s="30" t="s">
        <v>1292</v>
      </c>
      <c r="J286" s="10" t="s">
        <v>678</v>
      </c>
      <c r="K286" s="10" t="s">
        <v>439</v>
      </c>
      <c r="L286" s="10" t="s">
        <v>439</v>
      </c>
    </row>
    <row r="287" spans="1:12" ht="43.5" x14ac:dyDescent="0.35">
      <c r="A287" s="30" t="s">
        <v>1835</v>
      </c>
      <c r="B287" s="30" t="s">
        <v>1836</v>
      </c>
      <c r="C287" s="30" t="s">
        <v>1444</v>
      </c>
      <c r="D287" s="30" t="s">
        <v>1795</v>
      </c>
      <c r="E287" s="35" t="s">
        <v>1796</v>
      </c>
      <c r="F287" s="9" t="s">
        <v>1330</v>
      </c>
      <c r="G287" s="10" t="s">
        <v>435</v>
      </c>
      <c r="H287" s="30" t="s">
        <v>1331</v>
      </c>
      <c r="I287" s="30" t="s">
        <v>1331</v>
      </c>
      <c r="J287" s="10" t="s">
        <v>438</v>
      </c>
      <c r="K287" s="10" t="s">
        <v>439</v>
      </c>
      <c r="L287" s="10" t="s">
        <v>439</v>
      </c>
    </row>
    <row r="288" spans="1:12" ht="43.5" x14ac:dyDescent="0.35">
      <c r="A288" s="30" t="s">
        <v>1837</v>
      </c>
      <c r="B288" s="30" t="s">
        <v>1838</v>
      </c>
      <c r="C288" s="30" t="s">
        <v>737</v>
      </c>
      <c r="D288" s="30" t="s">
        <v>1795</v>
      </c>
      <c r="E288" s="35" t="s">
        <v>1182</v>
      </c>
      <c r="F288" s="9" t="s">
        <v>1334</v>
      </c>
      <c r="G288" s="10" t="s">
        <v>435</v>
      </c>
      <c r="H288" s="30" t="s">
        <v>1391</v>
      </c>
      <c r="I288" s="30" t="s">
        <v>1391</v>
      </c>
      <c r="J288" s="10" t="s">
        <v>438</v>
      </c>
      <c r="K288" s="10" t="s">
        <v>439</v>
      </c>
      <c r="L288" s="10" t="s">
        <v>439</v>
      </c>
    </row>
    <row r="289" spans="1:12" ht="58" x14ac:dyDescent="0.35">
      <c r="A289" s="30" t="s">
        <v>1839</v>
      </c>
      <c r="B289" s="30" t="s">
        <v>1337</v>
      </c>
      <c r="C289" s="30" t="s">
        <v>1105</v>
      </c>
      <c r="D289" s="30" t="s">
        <v>1795</v>
      </c>
      <c r="E289" s="35" t="s">
        <v>1182</v>
      </c>
      <c r="F289" s="9" t="s">
        <v>1338</v>
      </c>
      <c r="G289" s="10" t="s">
        <v>538</v>
      </c>
      <c r="H289" s="30" t="s">
        <v>1840</v>
      </c>
      <c r="I289" s="30" t="s">
        <v>1840</v>
      </c>
      <c r="J289" s="10" t="s">
        <v>438</v>
      </c>
      <c r="K289" s="10" t="s">
        <v>439</v>
      </c>
      <c r="L289" s="10" t="s">
        <v>439</v>
      </c>
    </row>
    <row r="290" spans="1:12" ht="43.5" x14ac:dyDescent="0.35">
      <c r="A290" s="30" t="s">
        <v>1841</v>
      </c>
      <c r="B290" s="30" t="s">
        <v>1842</v>
      </c>
      <c r="C290" s="30" t="s">
        <v>1342</v>
      </c>
      <c r="D290" s="30" t="s">
        <v>1795</v>
      </c>
      <c r="E290" s="35" t="s">
        <v>1796</v>
      </c>
      <c r="F290" s="9" t="s">
        <v>1343</v>
      </c>
      <c r="G290" s="10" t="s">
        <v>435</v>
      </c>
      <c r="H290" s="30" t="s">
        <v>1344</v>
      </c>
      <c r="I290" s="30" t="s">
        <v>1380</v>
      </c>
      <c r="J290" s="10" t="s">
        <v>470</v>
      </c>
      <c r="K290" s="10" t="s">
        <v>439</v>
      </c>
      <c r="L290" s="10" t="s">
        <v>439</v>
      </c>
    </row>
    <row r="291" spans="1:12" ht="58" x14ac:dyDescent="0.35">
      <c r="A291" s="30" t="s">
        <v>1843</v>
      </c>
      <c r="B291" s="30" t="s">
        <v>1844</v>
      </c>
      <c r="C291" s="30" t="s">
        <v>1845</v>
      </c>
      <c r="D291" s="30" t="s">
        <v>1846</v>
      </c>
      <c r="E291" s="35" t="s">
        <v>1796</v>
      </c>
      <c r="F291" s="9" t="s">
        <v>1348</v>
      </c>
      <c r="G291" s="10" t="s">
        <v>435</v>
      </c>
      <c r="H291" s="30" t="s">
        <v>1847</v>
      </c>
      <c r="I291" s="30" t="s">
        <v>1847</v>
      </c>
      <c r="J291" s="10" t="s">
        <v>438</v>
      </c>
      <c r="K291" s="10" t="s">
        <v>439</v>
      </c>
      <c r="L291" s="10" t="s">
        <v>439</v>
      </c>
    </row>
    <row r="292" spans="1:12" ht="29" x14ac:dyDescent="0.35">
      <c r="A292" s="30" t="s">
        <v>1848</v>
      </c>
      <c r="B292" s="30" t="s">
        <v>1849</v>
      </c>
      <c r="C292" s="30" t="s">
        <v>1850</v>
      </c>
      <c r="D292" s="30" t="s">
        <v>1851</v>
      </c>
      <c r="E292" s="35" t="s">
        <v>1796</v>
      </c>
      <c r="F292" s="9" t="s">
        <v>1852</v>
      </c>
      <c r="G292" s="10" t="s">
        <v>435</v>
      </c>
      <c r="H292" s="30" t="s">
        <v>1853</v>
      </c>
      <c r="I292" s="30" t="s">
        <v>1853</v>
      </c>
      <c r="J292" s="10" t="s">
        <v>438</v>
      </c>
      <c r="K292" s="10" t="s">
        <v>439</v>
      </c>
      <c r="L292" s="10" t="s">
        <v>439</v>
      </c>
    </row>
    <row r="293" spans="1:12" ht="43.5" x14ac:dyDescent="0.35">
      <c r="A293" s="30" t="s">
        <v>1854</v>
      </c>
      <c r="B293" s="30" t="s">
        <v>1855</v>
      </c>
      <c r="C293" s="30" t="s">
        <v>1856</v>
      </c>
      <c r="D293" s="30" t="s">
        <v>1795</v>
      </c>
      <c r="E293" s="35" t="s">
        <v>1857</v>
      </c>
      <c r="F293" s="9" t="s">
        <v>1833</v>
      </c>
      <c r="G293" s="10" t="s">
        <v>538</v>
      </c>
      <c r="H293" s="30" t="s">
        <v>1858</v>
      </c>
      <c r="I293" s="30" t="s">
        <v>1380</v>
      </c>
      <c r="J293" s="10" t="s">
        <v>470</v>
      </c>
      <c r="K293" s="10" t="s">
        <v>439</v>
      </c>
      <c r="L293" s="10" t="s">
        <v>439</v>
      </c>
    </row>
    <row r="294" spans="1:12" ht="43.5" x14ac:dyDescent="0.35">
      <c r="A294" s="30" t="s">
        <v>1859</v>
      </c>
      <c r="B294" s="30" t="s">
        <v>1355</v>
      </c>
      <c r="C294" s="30" t="s">
        <v>847</v>
      </c>
      <c r="D294" s="30" t="s">
        <v>1795</v>
      </c>
      <c r="E294" s="35" t="s">
        <v>1796</v>
      </c>
      <c r="F294" s="9" t="s">
        <v>1356</v>
      </c>
      <c r="G294" s="10" t="s">
        <v>484</v>
      </c>
      <c r="H294" s="30" t="s">
        <v>1860</v>
      </c>
      <c r="I294" s="30" t="s">
        <v>1860</v>
      </c>
      <c r="J294" s="10" t="s">
        <v>438</v>
      </c>
      <c r="K294" s="10" t="s">
        <v>439</v>
      </c>
      <c r="L294" s="10" t="s">
        <v>439</v>
      </c>
    </row>
    <row r="295" spans="1:12" s="29" customFormat="1" ht="26" x14ac:dyDescent="0.35">
      <c r="A295" s="31"/>
      <c r="B295" s="33" t="s">
        <v>2418</v>
      </c>
      <c r="C295" s="31"/>
      <c r="D295" s="31"/>
      <c r="E295" s="36"/>
      <c r="F295" s="28"/>
      <c r="G295" s="27"/>
      <c r="H295" s="31"/>
      <c r="I295" s="31"/>
      <c r="J295" s="27"/>
      <c r="K295" s="27"/>
      <c r="L295" s="27"/>
    </row>
    <row r="296" spans="1:12" ht="58" x14ac:dyDescent="0.35">
      <c r="A296" s="30" t="s">
        <v>1861</v>
      </c>
      <c r="B296" s="30" t="s">
        <v>1862</v>
      </c>
      <c r="C296" s="30" t="s">
        <v>1863</v>
      </c>
      <c r="D296" s="30" t="s">
        <v>1864</v>
      </c>
      <c r="E296" s="35" t="s">
        <v>1796</v>
      </c>
      <c r="F296" s="9" t="s">
        <v>1865</v>
      </c>
      <c r="G296" s="10" t="s">
        <v>435</v>
      </c>
      <c r="H296" s="30" t="s">
        <v>1866</v>
      </c>
      <c r="I296" s="30" t="s">
        <v>1867</v>
      </c>
      <c r="J296" s="10" t="s">
        <v>470</v>
      </c>
      <c r="K296" s="10" t="s">
        <v>439</v>
      </c>
      <c r="L296" s="10" t="s">
        <v>439</v>
      </c>
    </row>
    <row r="297" spans="1:12" ht="58" x14ac:dyDescent="0.35">
      <c r="A297" s="30" t="s">
        <v>1868</v>
      </c>
      <c r="B297" s="30" t="s">
        <v>1869</v>
      </c>
      <c r="C297" s="30" t="s">
        <v>1870</v>
      </c>
      <c r="D297" s="30" t="s">
        <v>1864</v>
      </c>
      <c r="E297" s="35" t="s">
        <v>1796</v>
      </c>
      <c r="F297" s="9" t="s">
        <v>1797</v>
      </c>
      <c r="G297" s="10" t="s">
        <v>435</v>
      </c>
      <c r="H297" s="30" t="s">
        <v>1871</v>
      </c>
      <c r="I297" s="30" t="s">
        <v>1867</v>
      </c>
      <c r="J297" s="10" t="s">
        <v>470</v>
      </c>
      <c r="K297" s="10" t="s">
        <v>439</v>
      </c>
      <c r="L297" s="10" t="s">
        <v>439</v>
      </c>
    </row>
    <row r="298" spans="1:12" ht="43.5" x14ac:dyDescent="0.35">
      <c r="A298" s="30" t="s">
        <v>1872</v>
      </c>
      <c r="B298" s="30" t="s">
        <v>1873</v>
      </c>
      <c r="C298" s="30" t="s">
        <v>1874</v>
      </c>
      <c r="D298" s="30" t="s">
        <v>1875</v>
      </c>
      <c r="E298" s="35" t="s">
        <v>1796</v>
      </c>
      <c r="F298" s="9" t="s">
        <v>1876</v>
      </c>
      <c r="G298" s="10" t="s">
        <v>484</v>
      </c>
      <c r="H298" s="30" t="s">
        <v>1877</v>
      </c>
      <c r="I298" s="30" t="s">
        <v>1867</v>
      </c>
      <c r="J298" s="10" t="s">
        <v>470</v>
      </c>
      <c r="K298" s="10" t="s">
        <v>439</v>
      </c>
      <c r="L298" s="10" t="s">
        <v>439</v>
      </c>
    </row>
    <row r="299" spans="1:12" ht="43.5" x14ac:dyDescent="0.35">
      <c r="A299" s="30" t="s">
        <v>1878</v>
      </c>
      <c r="B299" s="30" t="s">
        <v>1879</v>
      </c>
      <c r="C299" s="30" t="s">
        <v>1880</v>
      </c>
      <c r="D299" s="30" t="s">
        <v>1881</v>
      </c>
      <c r="E299" s="35" t="s">
        <v>1796</v>
      </c>
      <c r="F299" s="9" t="s">
        <v>1882</v>
      </c>
      <c r="G299" s="10" t="s">
        <v>484</v>
      </c>
      <c r="H299" s="30" t="s">
        <v>1883</v>
      </c>
      <c r="I299" s="30" t="s">
        <v>1884</v>
      </c>
      <c r="J299" s="10" t="s">
        <v>678</v>
      </c>
      <c r="K299" s="10" t="s">
        <v>439</v>
      </c>
      <c r="L299" s="10" t="s">
        <v>439</v>
      </c>
    </row>
    <row r="300" spans="1:12" ht="58" x14ac:dyDescent="0.35">
      <c r="A300" s="30" t="s">
        <v>1885</v>
      </c>
      <c r="B300" s="30" t="s">
        <v>1886</v>
      </c>
      <c r="C300" s="30" t="s">
        <v>1887</v>
      </c>
      <c r="D300" s="30" t="s">
        <v>1888</v>
      </c>
      <c r="E300" s="35" t="s">
        <v>1796</v>
      </c>
      <c r="F300" s="9" t="s">
        <v>1889</v>
      </c>
      <c r="G300" s="10" t="s">
        <v>484</v>
      </c>
      <c r="H300" s="30" t="s">
        <v>1890</v>
      </c>
      <c r="I300" s="30" t="s">
        <v>1867</v>
      </c>
      <c r="J300" s="10" t="s">
        <v>470</v>
      </c>
      <c r="K300" s="10" t="s">
        <v>439</v>
      </c>
      <c r="L300" s="10" t="s">
        <v>439</v>
      </c>
    </row>
    <row r="301" spans="1:12" ht="43.5" x14ac:dyDescent="0.35">
      <c r="A301" s="30" t="s">
        <v>1891</v>
      </c>
      <c r="B301" s="30" t="s">
        <v>1892</v>
      </c>
      <c r="C301" s="30" t="s">
        <v>1893</v>
      </c>
      <c r="D301" s="30" t="s">
        <v>1894</v>
      </c>
      <c r="E301" s="35" t="s">
        <v>1796</v>
      </c>
      <c r="F301" s="9" t="s">
        <v>1797</v>
      </c>
      <c r="G301" s="10" t="s">
        <v>435</v>
      </c>
      <c r="H301" s="30" t="s">
        <v>1895</v>
      </c>
      <c r="I301" s="30" t="s">
        <v>1867</v>
      </c>
      <c r="J301" s="10" t="s">
        <v>470</v>
      </c>
      <c r="K301" s="10" t="s">
        <v>439</v>
      </c>
      <c r="L301" s="10" t="s">
        <v>439</v>
      </c>
    </row>
    <row r="302" spans="1:12" ht="58" x14ac:dyDescent="0.35">
      <c r="A302" s="30" t="s">
        <v>1896</v>
      </c>
      <c r="B302" s="30" t="s">
        <v>1897</v>
      </c>
      <c r="C302" s="30" t="s">
        <v>1898</v>
      </c>
      <c r="D302" s="30" t="s">
        <v>1864</v>
      </c>
      <c r="E302" s="35" t="s">
        <v>1796</v>
      </c>
      <c r="F302" s="9" t="s">
        <v>1797</v>
      </c>
      <c r="G302" s="10" t="s">
        <v>435</v>
      </c>
      <c r="H302" s="30" t="s">
        <v>1899</v>
      </c>
      <c r="I302" s="30" t="s">
        <v>1884</v>
      </c>
      <c r="J302" s="10" t="s">
        <v>678</v>
      </c>
      <c r="K302" s="10" t="s">
        <v>439</v>
      </c>
      <c r="L302" s="10" t="s">
        <v>439</v>
      </c>
    </row>
    <row r="303" spans="1:12" ht="58" x14ac:dyDescent="0.35">
      <c r="A303" s="30" t="s">
        <v>1900</v>
      </c>
      <c r="B303" s="30" t="s">
        <v>1901</v>
      </c>
      <c r="C303" s="30" t="s">
        <v>1902</v>
      </c>
      <c r="D303" s="30" t="s">
        <v>1864</v>
      </c>
      <c r="E303" s="35" t="s">
        <v>1796</v>
      </c>
      <c r="F303" s="9" t="s">
        <v>1797</v>
      </c>
      <c r="G303" s="10" t="s">
        <v>484</v>
      </c>
      <c r="H303" s="30" t="s">
        <v>1903</v>
      </c>
      <c r="I303" s="30" t="s">
        <v>1867</v>
      </c>
      <c r="J303" s="10" t="s">
        <v>470</v>
      </c>
      <c r="K303" s="10" t="s">
        <v>439</v>
      </c>
      <c r="L303" s="10" t="s">
        <v>439</v>
      </c>
    </row>
    <row r="304" spans="1:12" ht="58" x14ac:dyDescent="0.35">
      <c r="A304" s="30" t="s">
        <v>1904</v>
      </c>
      <c r="B304" s="30" t="s">
        <v>1905</v>
      </c>
      <c r="C304" s="30" t="s">
        <v>1906</v>
      </c>
      <c r="D304" s="30" t="s">
        <v>1864</v>
      </c>
      <c r="E304" s="35" t="s">
        <v>1796</v>
      </c>
      <c r="F304" s="9" t="s">
        <v>1797</v>
      </c>
      <c r="G304" s="10" t="s">
        <v>484</v>
      </c>
      <c r="H304" s="30" t="s">
        <v>1907</v>
      </c>
      <c r="I304" s="30" t="s">
        <v>1867</v>
      </c>
      <c r="J304" s="10" t="s">
        <v>470</v>
      </c>
      <c r="K304" s="10" t="s">
        <v>439</v>
      </c>
      <c r="L304" s="10" t="s">
        <v>439</v>
      </c>
    </row>
    <row r="305" spans="1:12" ht="58" x14ac:dyDescent="0.35">
      <c r="A305" s="30" t="s">
        <v>1908</v>
      </c>
      <c r="B305" s="30" t="s">
        <v>1909</v>
      </c>
      <c r="C305" s="30" t="s">
        <v>1910</v>
      </c>
      <c r="D305" s="30" t="s">
        <v>1864</v>
      </c>
      <c r="E305" s="35" t="s">
        <v>1796</v>
      </c>
      <c r="F305" s="9" t="s">
        <v>1797</v>
      </c>
      <c r="G305" s="10" t="s">
        <v>538</v>
      </c>
      <c r="H305" s="30" t="s">
        <v>1911</v>
      </c>
      <c r="I305" s="30" t="s">
        <v>1867</v>
      </c>
      <c r="J305" s="10" t="s">
        <v>470</v>
      </c>
      <c r="K305" s="10" t="s">
        <v>439</v>
      </c>
      <c r="L305" s="10" t="s">
        <v>439</v>
      </c>
    </row>
    <row r="306" spans="1:12" ht="58" x14ac:dyDescent="0.35">
      <c r="A306" s="30" t="s">
        <v>1912</v>
      </c>
      <c r="B306" s="30" t="s">
        <v>1913</v>
      </c>
      <c r="C306" s="30" t="s">
        <v>1914</v>
      </c>
      <c r="D306" s="30" t="s">
        <v>1864</v>
      </c>
      <c r="E306" s="35" t="s">
        <v>1915</v>
      </c>
      <c r="F306" s="9" t="s">
        <v>1797</v>
      </c>
      <c r="G306" s="10" t="s">
        <v>435</v>
      </c>
      <c r="H306" s="30" t="s">
        <v>1916</v>
      </c>
      <c r="I306" s="30" t="s">
        <v>1867</v>
      </c>
      <c r="J306" s="10" t="s">
        <v>470</v>
      </c>
      <c r="K306" s="10" t="s">
        <v>439</v>
      </c>
      <c r="L306" s="10" t="s">
        <v>439</v>
      </c>
    </row>
    <row r="307" spans="1:12" ht="58" x14ac:dyDescent="0.35">
      <c r="A307" s="30" t="s">
        <v>1917</v>
      </c>
      <c r="B307" s="30" t="s">
        <v>1918</v>
      </c>
      <c r="C307" s="30" t="s">
        <v>1919</v>
      </c>
      <c r="D307" s="30" t="s">
        <v>1864</v>
      </c>
      <c r="E307" s="35" t="s">
        <v>1920</v>
      </c>
      <c r="F307" s="9" t="s">
        <v>1921</v>
      </c>
      <c r="G307" s="10" t="s">
        <v>484</v>
      </c>
      <c r="H307" s="30" t="s">
        <v>1922</v>
      </c>
      <c r="I307" s="30" t="s">
        <v>1884</v>
      </c>
      <c r="J307" s="10" t="s">
        <v>678</v>
      </c>
      <c r="K307" s="10" t="s">
        <v>439</v>
      </c>
      <c r="L307" s="10" t="s">
        <v>439</v>
      </c>
    </row>
    <row r="308" spans="1:12" ht="58" x14ac:dyDescent="0.35">
      <c r="A308" s="30" t="s">
        <v>1923</v>
      </c>
      <c r="B308" s="30" t="s">
        <v>1924</v>
      </c>
      <c r="C308" s="30" t="s">
        <v>1925</v>
      </c>
      <c r="D308" s="30" t="s">
        <v>1864</v>
      </c>
      <c r="E308" s="35" t="s">
        <v>1926</v>
      </c>
      <c r="F308" s="9" t="s">
        <v>1927</v>
      </c>
      <c r="G308" s="10" t="s">
        <v>484</v>
      </c>
      <c r="H308" s="30" t="s">
        <v>1928</v>
      </c>
      <c r="I308" s="30" t="s">
        <v>1884</v>
      </c>
      <c r="J308" s="10" t="s">
        <v>678</v>
      </c>
      <c r="K308" s="10" t="s">
        <v>439</v>
      </c>
      <c r="L308" s="10" t="s">
        <v>439</v>
      </c>
    </row>
    <row r="309" spans="1:12" ht="58" x14ac:dyDescent="0.35">
      <c r="A309" s="30" t="s">
        <v>1929</v>
      </c>
      <c r="B309" s="30" t="s">
        <v>1519</v>
      </c>
      <c r="C309" s="30" t="s">
        <v>1930</v>
      </c>
      <c r="D309" s="30" t="s">
        <v>1864</v>
      </c>
      <c r="E309" s="35" t="s">
        <v>1796</v>
      </c>
      <c r="F309" s="9" t="s">
        <v>1797</v>
      </c>
      <c r="G309" s="10" t="s">
        <v>484</v>
      </c>
      <c r="H309" s="30" t="s">
        <v>1931</v>
      </c>
      <c r="I309" s="30" t="s">
        <v>1884</v>
      </c>
      <c r="J309" s="10" t="s">
        <v>678</v>
      </c>
      <c r="K309" s="10" t="s">
        <v>439</v>
      </c>
      <c r="L309" s="10" t="s">
        <v>439</v>
      </c>
    </row>
    <row r="310" spans="1:12" ht="58" x14ac:dyDescent="0.35">
      <c r="A310" s="30" t="s">
        <v>1932</v>
      </c>
      <c r="B310" s="30" t="s">
        <v>1933</v>
      </c>
      <c r="C310" s="30" t="s">
        <v>1444</v>
      </c>
      <c r="D310" s="30" t="s">
        <v>1864</v>
      </c>
      <c r="E310" s="35" t="s">
        <v>1796</v>
      </c>
      <c r="F310" s="9" t="s">
        <v>1330</v>
      </c>
      <c r="G310" s="10" t="s">
        <v>435</v>
      </c>
      <c r="H310" s="30" t="s">
        <v>1331</v>
      </c>
      <c r="I310" s="30" t="s">
        <v>1331</v>
      </c>
      <c r="J310" s="10" t="s">
        <v>438</v>
      </c>
      <c r="K310" s="10" t="s">
        <v>439</v>
      </c>
      <c r="L310" s="10" t="s">
        <v>439</v>
      </c>
    </row>
    <row r="311" spans="1:12" ht="58" x14ac:dyDescent="0.35">
      <c r="A311" s="30" t="s">
        <v>1934</v>
      </c>
      <c r="B311" s="30" t="s">
        <v>1935</v>
      </c>
      <c r="C311" s="30" t="s">
        <v>737</v>
      </c>
      <c r="D311" s="30" t="s">
        <v>1864</v>
      </c>
      <c r="E311" s="35" t="s">
        <v>1182</v>
      </c>
      <c r="F311" s="9" t="s">
        <v>1334</v>
      </c>
      <c r="G311" s="10" t="s">
        <v>435</v>
      </c>
      <c r="H311" s="30" t="s">
        <v>1391</v>
      </c>
      <c r="I311" s="30" t="s">
        <v>1391</v>
      </c>
      <c r="J311" s="10" t="s">
        <v>438</v>
      </c>
      <c r="K311" s="10" t="s">
        <v>439</v>
      </c>
      <c r="L311" s="10" t="s">
        <v>439</v>
      </c>
    </row>
    <row r="312" spans="1:12" ht="58" x14ac:dyDescent="0.35">
      <c r="A312" s="30" t="s">
        <v>1936</v>
      </c>
      <c r="B312" s="30" t="s">
        <v>1337</v>
      </c>
      <c r="C312" s="30" t="s">
        <v>1105</v>
      </c>
      <c r="D312" s="30" t="s">
        <v>1864</v>
      </c>
      <c r="E312" s="35" t="s">
        <v>1182</v>
      </c>
      <c r="F312" s="9" t="s">
        <v>1338</v>
      </c>
      <c r="G312" s="10" t="s">
        <v>538</v>
      </c>
      <c r="H312" s="30" t="s">
        <v>1840</v>
      </c>
      <c r="I312" s="30" t="s">
        <v>1840</v>
      </c>
      <c r="J312" s="10" t="s">
        <v>438</v>
      </c>
      <c r="K312" s="10" t="s">
        <v>439</v>
      </c>
      <c r="L312" s="10" t="s">
        <v>439</v>
      </c>
    </row>
    <row r="313" spans="1:12" ht="58" x14ac:dyDescent="0.35">
      <c r="A313" s="30" t="s">
        <v>1937</v>
      </c>
      <c r="B313" s="30" t="s">
        <v>1938</v>
      </c>
      <c r="C313" s="30" t="s">
        <v>1342</v>
      </c>
      <c r="D313" s="30" t="s">
        <v>1864</v>
      </c>
      <c r="E313" s="35" t="s">
        <v>1796</v>
      </c>
      <c r="F313" s="9" t="s">
        <v>1343</v>
      </c>
      <c r="G313" s="10" t="s">
        <v>435</v>
      </c>
      <c r="H313" s="30" t="s">
        <v>1344</v>
      </c>
      <c r="I313" s="30" t="s">
        <v>1344</v>
      </c>
      <c r="J313" s="10" t="s">
        <v>438</v>
      </c>
      <c r="K313" s="10" t="s">
        <v>439</v>
      </c>
      <c r="L313" s="10" t="s">
        <v>439</v>
      </c>
    </row>
    <row r="314" spans="1:12" ht="58" x14ac:dyDescent="0.35">
      <c r="A314" s="30" t="s">
        <v>365</v>
      </c>
      <c r="B314" s="30" t="s">
        <v>1939</v>
      </c>
      <c r="C314" s="30" t="s">
        <v>1940</v>
      </c>
      <c r="D314" s="30" t="s">
        <v>1941</v>
      </c>
      <c r="E314" s="35" t="s">
        <v>1796</v>
      </c>
      <c r="F314" s="9" t="s">
        <v>1942</v>
      </c>
      <c r="G314" s="10" t="s">
        <v>435</v>
      </c>
      <c r="H314" s="30" t="s">
        <v>1943</v>
      </c>
      <c r="I314" s="30" t="s">
        <v>1943</v>
      </c>
      <c r="J314" s="10" t="s">
        <v>438</v>
      </c>
      <c r="K314" s="10" t="s">
        <v>439</v>
      </c>
      <c r="L314" s="10" t="s">
        <v>439</v>
      </c>
    </row>
    <row r="315" spans="1:12" ht="58" x14ac:dyDescent="0.35">
      <c r="A315" s="30" t="s">
        <v>367</v>
      </c>
      <c r="B315" s="30" t="s">
        <v>1355</v>
      </c>
      <c r="C315" s="30" t="s">
        <v>847</v>
      </c>
      <c r="D315" s="30" t="s">
        <v>1864</v>
      </c>
      <c r="E315" s="35" t="s">
        <v>1796</v>
      </c>
      <c r="F315" s="9" t="s">
        <v>1356</v>
      </c>
      <c r="G315" s="10" t="s">
        <v>484</v>
      </c>
      <c r="H315" s="30" t="s">
        <v>1944</v>
      </c>
      <c r="I315" s="30" t="s">
        <v>1944</v>
      </c>
      <c r="J315" s="10" t="s">
        <v>438</v>
      </c>
      <c r="K315" s="10" t="s">
        <v>439</v>
      </c>
      <c r="L315" s="10" t="s">
        <v>439</v>
      </c>
    </row>
    <row r="316" spans="1:12" s="29" customFormat="1" ht="52" x14ac:dyDescent="0.35">
      <c r="A316" s="31"/>
      <c r="B316" s="33" t="s">
        <v>2428</v>
      </c>
      <c r="C316" s="31"/>
      <c r="D316" s="31"/>
      <c r="E316" s="36"/>
      <c r="F316" s="28"/>
      <c r="G316" s="27"/>
      <c r="H316" s="31"/>
      <c r="I316" s="31"/>
      <c r="J316" s="27"/>
      <c r="K316" s="27"/>
      <c r="L316" s="27"/>
    </row>
    <row r="317" spans="1:12" ht="72.5" x14ac:dyDescent="0.35">
      <c r="A317" s="30" t="s">
        <v>1945</v>
      </c>
      <c r="B317" s="30" t="s">
        <v>1946</v>
      </c>
      <c r="C317" s="30" t="s">
        <v>1947</v>
      </c>
      <c r="D317" s="30" t="s">
        <v>1948</v>
      </c>
      <c r="E317" s="35" t="s">
        <v>568</v>
      </c>
      <c r="F317" s="9" t="s">
        <v>1949</v>
      </c>
      <c r="G317" s="10" t="s">
        <v>435</v>
      </c>
      <c r="H317" s="30" t="s">
        <v>1950</v>
      </c>
      <c r="I317" s="30" t="s">
        <v>1867</v>
      </c>
      <c r="J317" s="10" t="s">
        <v>470</v>
      </c>
      <c r="K317" s="10" t="s">
        <v>439</v>
      </c>
      <c r="L317" s="10" t="s">
        <v>439</v>
      </c>
    </row>
    <row r="318" spans="1:12" ht="72.5" x14ac:dyDescent="0.35">
      <c r="A318" s="30" t="s">
        <v>1951</v>
      </c>
      <c r="B318" s="30" t="s">
        <v>1952</v>
      </c>
      <c r="C318" s="30" t="s">
        <v>1953</v>
      </c>
      <c r="D318" s="30" t="s">
        <v>1948</v>
      </c>
      <c r="E318" s="35" t="s">
        <v>568</v>
      </c>
      <c r="F318" s="9" t="s">
        <v>1954</v>
      </c>
      <c r="G318" s="10" t="s">
        <v>484</v>
      </c>
      <c r="H318" s="30" t="s">
        <v>1955</v>
      </c>
      <c r="I318" s="30" t="s">
        <v>1867</v>
      </c>
      <c r="J318" s="10" t="s">
        <v>470</v>
      </c>
      <c r="K318" s="10" t="s">
        <v>439</v>
      </c>
      <c r="L318" s="10" t="s">
        <v>439</v>
      </c>
    </row>
    <row r="319" spans="1:12" ht="72.5" x14ac:dyDescent="0.35">
      <c r="A319" s="30" t="s">
        <v>1956</v>
      </c>
      <c r="B319" s="30" t="s">
        <v>1957</v>
      </c>
      <c r="C319" s="30" t="s">
        <v>1958</v>
      </c>
      <c r="D319" s="30" t="s">
        <v>1948</v>
      </c>
      <c r="E319" s="35" t="s">
        <v>568</v>
      </c>
      <c r="F319" s="9" t="s">
        <v>1959</v>
      </c>
      <c r="G319" s="10" t="s">
        <v>435</v>
      </c>
      <c r="H319" s="30" t="s">
        <v>1960</v>
      </c>
      <c r="I319" s="30" t="s">
        <v>1867</v>
      </c>
      <c r="J319" s="10" t="s">
        <v>470</v>
      </c>
      <c r="K319" s="10" t="s">
        <v>439</v>
      </c>
      <c r="L319" s="10" t="s">
        <v>439</v>
      </c>
    </row>
    <row r="320" spans="1:12" ht="72.5" x14ac:dyDescent="0.35">
      <c r="A320" s="30" t="s">
        <v>1961</v>
      </c>
      <c r="B320" s="30" t="s">
        <v>1962</v>
      </c>
      <c r="C320" s="30" t="s">
        <v>1963</v>
      </c>
      <c r="D320" s="30" t="s">
        <v>1948</v>
      </c>
      <c r="E320" s="35" t="s">
        <v>568</v>
      </c>
      <c r="F320" s="9" t="s">
        <v>1964</v>
      </c>
      <c r="G320" s="10" t="s">
        <v>484</v>
      </c>
      <c r="H320" s="30" t="s">
        <v>1965</v>
      </c>
      <c r="I320" s="30" t="s">
        <v>1867</v>
      </c>
      <c r="J320" s="10" t="s">
        <v>470</v>
      </c>
      <c r="K320" s="10" t="s">
        <v>439</v>
      </c>
      <c r="L320" s="10" t="s">
        <v>439</v>
      </c>
    </row>
    <row r="321" spans="1:12" ht="72.5" x14ac:dyDescent="0.35">
      <c r="A321" s="30" t="s">
        <v>1966</v>
      </c>
      <c r="B321" s="30" t="s">
        <v>1967</v>
      </c>
      <c r="C321" s="30" t="s">
        <v>1968</v>
      </c>
      <c r="D321" s="30" t="s">
        <v>1948</v>
      </c>
      <c r="E321" s="35" t="s">
        <v>568</v>
      </c>
      <c r="F321" s="9" t="s">
        <v>1969</v>
      </c>
      <c r="G321" s="10" t="s">
        <v>435</v>
      </c>
      <c r="H321" s="30" t="s">
        <v>1970</v>
      </c>
      <c r="I321" s="30" t="s">
        <v>1971</v>
      </c>
      <c r="J321" s="10" t="s">
        <v>470</v>
      </c>
      <c r="K321" s="10" t="s">
        <v>439</v>
      </c>
      <c r="L321" s="10" t="s">
        <v>439</v>
      </c>
    </row>
    <row r="322" spans="1:12" ht="72.5" x14ac:dyDescent="0.35">
      <c r="A322" s="30" t="s">
        <v>1972</v>
      </c>
      <c r="B322" s="30" t="s">
        <v>1973</v>
      </c>
      <c r="C322" s="30" t="s">
        <v>1974</v>
      </c>
      <c r="D322" s="30" t="s">
        <v>1948</v>
      </c>
      <c r="E322" s="35" t="s">
        <v>568</v>
      </c>
      <c r="F322" s="9" t="s">
        <v>1975</v>
      </c>
      <c r="G322" s="10" t="s">
        <v>435</v>
      </c>
      <c r="H322" s="30" t="s">
        <v>1976</v>
      </c>
      <c r="I322" s="30" t="s">
        <v>1977</v>
      </c>
      <c r="J322" s="10" t="s">
        <v>470</v>
      </c>
      <c r="K322" s="10" t="s">
        <v>439</v>
      </c>
      <c r="L322" s="10" t="s">
        <v>439</v>
      </c>
    </row>
    <row r="323" spans="1:12" ht="72.5" x14ac:dyDescent="0.35">
      <c r="A323" s="30" t="s">
        <v>1978</v>
      </c>
      <c r="B323" s="30" t="s">
        <v>1979</v>
      </c>
      <c r="C323" s="30" t="s">
        <v>1980</v>
      </c>
      <c r="D323" s="30" t="s">
        <v>1948</v>
      </c>
      <c r="E323" s="35" t="s">
        <v>568</v>
      </c>
      <c r="F323" s="9" t="s">
        <v>1981</v>
      </c>
      <c r="G323" s="10" t="s">
        <v>435</v>
      </c>
      <c r="H323" s="30" t="s">
        <v>1982</v>
      </c>
      <c r="I323" s="30" t="s">
        <v>1983</v>
      </c>
      <c r="J323" s="10" t="s">
        <v>470</v>
      </c>
      <c r="K323" s="10" t="s">
        <v>439</v>
      </c>
      <c r="L323" s="10" t="s">
        <v>439</v>
      </c>
    </row>
    <row r="324" spans="1:12" ht="72.5" x14ac:dyDescent="0.35">
      <c r="A324" s="30" t="s">
        <v>1984</v>
      </c>
      <c r="B324" s="30" t="s">
        <v>1985</v>
      </c>
      <c r="C324" s="30" t="s">
        <v>1986</v>
      </c>
      <c r="D324" s="30" t="s">
        <v>1948</v>
      </c>
      <c r="E324" s="35" t="s">
        <v>568</v>
      </c>
      <c r="F324" s="9" t="s">
        <v>1987</v>
      </c>
      <c r="G324" s="10" t="s">
        <v>484</v>
      </c>
      <c r="H324" s="30" t="s">
        <v>1988</v>
      </c>
      <c r="I324" s="30" t="s">
        <v>1989</v>
      </c>
      <c r="J324" s="10" t="s">
        <v>470</v>
      </c>
      <c r="K324" s="10" t="s">
        <v>439</v>
      </c>
      <c r="L324" s="10" t="s">
        <v>439</v>
      </c>
    </row>
    <row r="325" spans="1:12" ht="101.5" x14ac:dyDescent="0.35">
      <c r="A325" s="30" t="s">
        <v>1990</v>
      </c>
      <c r="B325" s="30" t="s">
        <v>1991</v>
      </c>
      <c r="C325" s="30" t="s">
        <v>673</v>
      </c>
      <c r="D325" s="30" t="s">
        <v>1948</v>
      </c>
      <c r="E325" s="35" t="s">
        <v>1182</v>
      </c>
      <c r="F325" s="9" t="s">
        <v>1992</v>
      </c>
      <c r="G325" s="10" t="s">
        <v>484</v>
      </c>
      <c r="H325" s="30" t="s">
        <v>676</v>
      </c>
      <c r="I325" s="30" t="s">
        <v>1993</v>
      </c>
      <c r="J325" s="10" t="s">
        <v>470</v>
      </c>
      <c r="K325" s="10" t="s">
        <v>439</v>
      </c>
      <c r="L325" s="10" t="s">
        <v>439</v>
      </c>
    </row>
    <row r="326" spans="1:12" ht="72.5" x14ac:dyDescent="0.35">
      <c r="A326" s="30" t="s">
        <v>1994</v>
      </c>
      <c r="B326" s="30" t="s">
        <v>1995</v>
      </c>
      <c r="C326" s="30" t="s">
        <v>1996</v>
      </c>
      <c r="D326" s="30" t="s">
        <v>1948</v>
      </c>
      <c r="E326" s="35" t="s">
        <v>568</v>
      </c>
      <c r="F326" s="9" t="s">
        <v>1997</v>
      </c>
      <c r="G326" s="10" t="s">
        <v>538</v>
      </c>
      <c r="H326" s="30" t="s">
        <v>1998</v>
      </c>
      <c r="I326" s="30" t="s">
        <v>1867</v>
      </c>
      <c r="J326" s="10" t="s">
        <v>470</v>
      </c>
      <c r="K326" s="10" t="s">
        <v>439</v>
      </c>
      <c r="L326" s="10" t="s">
        <v>439</v>
      </c>
    </row>
    <row r="327" spans="1:12" ht="72.5" x14ac:dyDescent="0.35">
      <c r="A327" s="30" t="s">
        <v>1999</v>
      </c>
      <c r="B327" s="30" t="s">
        <v>2000</v>
      </c>
      <c r="C327" s="30" t="s">
        <v>2001</v>
      </c>
      <c r="D327" s="30" t="s">
        <v>1948</v>
      </c>
      <c r="E327" s="35" t="s">
        <v>568</v>
      </c>
      <c r="F327" s="9" t="s">
        <v>2002</v>
      </c>
      <c r="G327" s="10" t="s">
        <v>435</v>
      </c>
      <c r="H327" s="30" t="s">
        <v>2003</v>
      </c>
      <c r="I327" s="30" t="s">
        <v>1867</v>
      </c>
      <c r="J327" s="10" t="s">
        <v>470</v>
      </c>
      <c r="K327" s="10" t="s">
        <v>439</v>
      </c>
      <c r="L327" s="10" t="s">
        <v>439</v>
      </c>
    </row>
    <row r="328" spans="1:12" ht="72.5" x14ac:dyDescent="0.35">
      <c r="A328" s="30" t="s">
        <v>2004</v>
      </c>
      <c r="B328" s="30" t="s">
        <v>2005</v>
      </c>
      <c r="C328" s="30" t="s">
        <v>2006</v>
      </c>
      <c r="D328" s="30" t="s">
        <v>1948</v>
      </c>
      <c r="E328" s="35" t="s">
        <v>568</v>
      </c>
      <c r="F328" s="9" t="s">
        <v>2007</v>
      </c>
      <c r="G328" s="10" t="s">
        <v>435</v>
      </c>
      <c r="H328" s="30" t="s">
        <v>2008</v>
      </c>
      <c r="I328" s="30" t="s">
        <v>1867</v>
      </c>
      <c r="J328" s="10" t="s">
        <v>470</v>
      </c>
      <c r="K328" s="10" t="s">
        <v>439</v>
      </c>
      <c r="L328" s="10" t="s">
        <v>439</v>
      </c>
    </row>
    <row r="329" spans="1:12" ht="72.5" x14ac:dyDescent="0.35">
      <c r="A329" s="30" t="s">
        <v>2009</v>
      </c>
      <c r="B329" s="30" t="s">
        <v>2010</v>
      </c>
      <c r="C329" s="30" t="s">
        <v>2011</v>
      </c>
      <c r="D329" s="30" t="s">
        <v>1948</v>
      </c>
      <c r="E329" s="35" t="s">
        <v>568</v>
      </c>
      <c r="F329" s="9" t="s">
        <v>2012</v>
      </c>
      <c r="G329" s="10" t="s">
        <v>435</v>
      </c>
      <c r="H329" s="30" t="s">
        <v>2013</v>
      </c>
      <c r="I329" s="30" t="s">
        <v>1867</v>
      </c>
      <c r="J329" s="10" t="s">
        <v>470</v>
      </c>
      <c r="K329" s="10" t="s">
        <v>439</v>
      </c>
      <c r="L329" s="10" t="s">
        <v>439</v>
      </c>
    </row>
    <row r="330" spans="1:12" ht="72.5" x14ac:dyDescent="0.35">
      <c r="A330" s="30" t="s">
        <v>2014</v>
      </c>
      <c r="B330" s="30" t="s">
        <v>2015</v>
      </c>
      <c r="C330" s="30" t="s">
        <v>2016</v>
      </c>
      <c r="D330" s="30" t="s">
        <v>1948</v>
      </c>
      <c r="E330" s="35" t="s">
        <v>568</v>
      </c>
      <c r="F330" s="9" t="s">
        <v>2017</v>
      </c>
      <c r="G330" s="10" t="s">
        <v>538</v>
      </c>
      <c r="H330" s="30" t="s">
        <v>2018</v>
      </c>
      <c r="I330" s="30" t="s">
        <v>1867</v>
      </c>
      <c r="J330" s="10" t="s">
        <v>470</v>
      </c>
      <c r="K330" s="10" t="s">
        <v>439</v>
      </c>
      <c r="L330" s="10" t="s">
        <v>439</v>
      </c>
    </row>
    <row r="331" spans="1:12" ht="101.5" x14ac:dyDescent="0.35">
      <c r="A331" s="30" t="s">
        <v>2019</v>
      </c>
      <c r="B331" s="30" t="s">
        <v>2020</v>
      </c>
      <c r="C331" s="30" t="s">
        <v>737</v>
      </c>
      <c r="D331" s="30" t="s">
        <v>1948</v>
      </c>
      <c r="E331" s="35" t="s">
        <v>1182</v>
      </c>
      <c r="F331" s="9" t="s">
        <v>2021</v>
      </c>
      <c r="G331" s="10" t="s">
        <v>435</v>
      </c>
      <c r="H331" s="30" t="s">
        <v>2022</v>
      </c>
      <c r="I331" s="30" t="s">
        <v>2022</v>
      </c>
      <c r="J331" s="10" t="s">
        <v>438</v>
      </c>
      <c r="K331" s="10" t="s">
        <v>439</v>
      </c>
      <c r="L331" s="10" t="s">
        <v>439</v>
      </c>
    </row>
    <row r="332" spans="1:12" ht="101.5" x14ac:dyDescent="0.35">
      <c r="A332" s="30" t="s">
        <v>2023</v>
      </c>
      <c r="B332" s="30" t="s">
        <v>2024</v>
      </c>
      <c r="C332" s="30" t="s">
        <v>737</v>
      </c>
      <c r="D332" s="30" t="s">
        <v>1948</v>
      </c>
      <c r="E332" s="35" t="s">
        <v>1182</v>
      </c>
      <c r="F332" s="9" t="s">
        <v>2025</v>
      </c>
      <c r="G332" s="10" t="s">
        <v>435</v>
      </c>
      <c r="H332" s="30" t="s">
        <v>2026</v>
      </c>
      <c r="I332" s="30" t="s">
        <v>2026</v>
      </c>
      <c r="J332" s="10" t="s">
        <v>438</v>
      </c>
      <c r="K332" s="10" t="s">
        <v>439</v>
      </c>
      <c r="L332" s="10" t="s">
        <v>439</v>
      </c>
    </row>
    <row r="333" spans="1:12" ht="72.5" x14ac:dyDescent="0.35">
      <c r="A333" s="30" t="s">
        <v>2027</v>
      </c>
      <c r="B333" s="30" t="s">
        <v>2028</v>
      </c>
      <c r="C333" s="30" t="s">
        <v>2029</v>
      </c>
      <c r="D333" s="30" t="s">
        <v>1948</v>
      </c>
      <c r="E333" s="35" t="s">
        <v>568</v>
      </c>
      <c r="F333" s="9" t="s">
        <v>1949</v>
      </c>
      <c r="G333" s="10" t="s">
        <v>435</v>
      </c>
      <c r="H333" s="30" t="s">
        <v>2030</v>
      </c>
      <c r="I333" s="30" t="s">
        <v>2031</v>
      </c>
      <c r="J333" s="10" t="s">
        <v>470</v>
      </c>
      <c r="K333" s="10" t="s">
        <v>439</v>
      </c>
      <c r="L333" s="10" t="s">
        <v>439</v>
      </c>
    </row>
    <row r="334" spans="1:12" ht="101.5" x14ac:dyDescent="0.35">
      <c r="A334" s="30" t="s">
        <v>2032</v>
      </c>
      <c r="B334" s="30" t="s">
        <v>2033</v>
      </c>
      <c r="C334" s="30" t="s">
        <v>2034</v>
      </c>
      <c r="D334" s="30" t="s">
        <v>1948</v>
      </c>
      <c r="E334" s="35" t="s">
        <v>1182</v>
      </c>
      <c r="F334" s="9" t="s">
        <v>2035</v>
      </c>
      <c r="G334" s="10" t="s">
        <v>538</v>
      </c>
      <c r="H334" s="30" t="s">
        <v>2036</v>
      </c>
      <c r="I334" s="30" t="s">
        <v>2031</v>
      </c>
      <c r="J334" s="10" t="s">
        <v>470</v>
      </c>
      <c r="K334" s="10" t="s">
        <v>439</v>
      </c>
      <c r="L334" s="10" t="s">
        <v>439</v>
      </c>
    </row>
    <row r="335" spans="1:12" ht="101.5" x14ac:dyDescent="0.35">
      <c r="A335" s="30" t="s">
        <v>2037</v>
      </c>
      <c r="B335" s="30" t="s">
        <v>2038</v>
      </c>
      <c r="C335" s="30" t="s">
        <v>2034</v>
      </c>
      <c r="D335" s="30" t="s">
        <v>1948</v>
      </c>
      <c r="E335" s="35" t="s">
        <v>1182</v>
      </c>
      <c r="F335" s="9" t="s">
        <v>2039</v>
      </c>
      <c r="G335" s="10" t="s">
        <v>538</v>
      </c>
      <c r="H335" s="30" t="s">
        <v>2040</v>
      </c>
      <c r="I335" s="30" t="s">
        <v>2031</v>
      </c>
      <c r="J335" s="10" t="s">
        <v>470</v>
      </c>
      <c r="K335" s="10" t="s">
        <v>439</v>
      </c>
      <c r="L335" s="10" t="s">
        <v>439</v>
      </c>
    </row>
    <row r="336" spans="1:12" ht="72.5" x14ac:dyDescent="0.35">
      <c r="A336" s="30" t="s">
        <v>2041</v>
      </c>
      <c r="B336" s="30" t="s">
        <v>2042</v>
      </c>
      <c r="C336" s="30" t="s">
        <v>2043</v>
      </c>
      <c r="D336" s="30" t="s">
        <v>1948</v>
      </c>
      <c r="E336" s="35" t="s">
        <v>568</v>
      </c>
      <c r="F336" s="9" t="s">
        <v>2044</v>
      </c>
      <c r="G336" s="10" t="s">
        <v>538</v>
      </c>
      <c r="H336" s="30" t="s">
        <v>2045</v>
      </c>
      <c r="I336" s="30" t="s">
        <v>2031</v>
      </c>
      <c r="J336" s="10" t="s">
        <v>470</v>
      </c>
      <c r="K336" s="10" t="s">
        <v>439</v>
      </c>
      <c r="L336" s="10" t="s">
        <v>439</v>
      </c>
    </row>
    <row r="337" spans="1:12" ht="72.5" x14ac:dyDescent="0.35">
      <c r="A337" s="30" t="s">
        <v>2046</v>
      </c>
      <c r="B337" s="30" t="s">
        <v>2047</v>
      </c>
      <c r="C337" s="30" t="s">
        <v>1444</v>
      </c>
      <c r="D337" s="30" t="s">
        <v>1948</v>
      </c>
      <c r="E337" s="35" t="s">
        <v>568</v>
      </c>
      <c r="F337" s="9" t="s">
        <v>2048</v>
      </c>
      <c r="G337" s="10" t="s">
        <v>435</v>
      </c>
      <c r="H337" s="30" t="s">
        <v>1331</v>
      </c>
      <c r="I337" s="30" t="s">
        <v>1331</v>
      </c>
      <c r="J337" s="10" t="s">
        <v>470</v>
      </c>
      <c r="K337" s="10" t="s">
        <v>439</v>
      </c>
      <c r="L337" s="10" t="s">
        <v>439</v>
      </c>
    </row>
    <row r="338" spans="1:12" ht="101.5" x14ac:dyDescent="0.35">
      <c r="A338" s="30" t="s">
        <v>2049</v>
      </c>
      <c r="B338" s="30" t="s">
        <v>2050</v>
      </c>
      <c r="C338" s="30" t="s">
        <v>737</v>
      </c>
      <c r="D338" s="30" t="s">
        <v>1948</v>
      </c>
      <c r="E338" s="35" t="s">
        <v>1182</v>
      </c>
      <c r="F338" s="9" t="s">
        <v>2051</v>
      </c>
      <c r="G338" s="10" t="s">
        <v>435</v>
      </c>
      <c r="H338" s="30" t="s">
        <v>1391</v>
      </c>
      <c r="I338" s="30" t="s">
        <v>1391</v>
      </c>
      <c r="J338" s="10" t="s">
        <v>470</v>
      </c>
      <c r="K338" s="10" t="s">
        <v>439</v>
      </c>
      <c r="L338" s="10" t="s">
        <v>439</v>
      </c>
    </row>
    <row r="339" spans="1:12" ht="72.5" x14ac:dyDescent="0.35">
      <c r="A339" s="30" t="s">
        <v>2052</v>
      </c>
      <c r="B339" s="30" t="s">
        <v>2053</v>
      </c>
      <c r="C339" s="30" t="s">
        <v>1342</v>
      </c>
      <c r="D339" s="30" t="s">
        <v>1948</v>
      </c>
      <c r="E339" s="35" t="s">
        <v>568</v>
      </c>
      <c r="F339" s="9" t="s">
        <v>2054</v>
      </c>
      <c r="G339" s="10" t="s">
        <v>435</v>
      </c>
      <c r="H339" s="30" t="s">
        <v>1344</v>
      </c>
      <c r="I339" s="30" t="s">
        <v>1344</v>
      </c>
      <c r="J339" s="10" t="s">
        <v>470</v>
      </c>
      <c r="K339" s="10" t="s">
        <v>439</v>
      </c>
      <c r="L339" s="10" t="s">
        <v>439</v>
      </c>
    </row>
    <row r="340" spans="1:12" ht="87" x14ac:dyDescent="0.35">
      <c r="A340" s="30" t="s">
        <v>388</v>
      </c>
      <c r="B340" s="30" t="s">
        <v>2055</v>
      </c>
      <c r="C340" s="30" t="s">
        <v>1940</v>
      </c>
      <c r="D340" s="30" t="s">
        <v>2056</v>
      </c>
      <c r="E340" s="35" t="s">
        <v>568</v>
      </c>
      <c r="F340" s="9" t="s">
        <v>2057</v>
      </c>
      <c r="G340" s="10" t="s">
        <v>435</v>
      </c>
      <c r="H340" s="30" t="s">
        <v>1943</v>
      </c>
      <c r="I340" s="30" t="s">
        <v>1943</v>
      </c>
      <c r="J340" s="10" t="s">
        <v>470</v>
      </c>
      <c r="K340" s="10" t="s">
        <v>439</v>
      </c>
      <c r="L340" s="10" t="s">
        <v>439</v>
      </c>
    </row>
    <row r="341" spans="1:12" ht="72.5" x14ac:dyDescent="0.35">
      <c r="A341" s="30" t="s">
        <v>2058</v>
      </c>
      <c r="B341" s="30" t="s">
        <v>1869</v>
      </c>
      <c r="C341" s="30" t="s">
        <v>2059</v>
      </c>
      <c r="D341" s="30" t="s">
        <v>1948</v>
      </c>
      <c r="E341" s="35" t="s">
        <v>568</v>
      </c>
      <c r="F341" s="9" t="s">
        <v>1949</v>
      </c>
      <c r="G341" s="10" t="s">
        <v>484</v>
      </c>
      <c r="H341" s="30" t="s">
        <v>2060</v>
      </c>
      <c r="I341" s="30" t="s">
        <v>1867</v>
      </c>
      <c r="J341" s="10" t="s">
        <v>470</v>
      </c>
      <c r="K341" s="10" t="s">
        <v>439</v>
      </c>
      <c r="L341" s="10" t="s">
        <v>439</v>
      </c>
    </row>
    <row r="342" spans="1:12" ht="72.5" x14ac:dyDescent="0.35">
      <c r="A342" s="30" t="s">
        <v>2061</v>
      </c>
      <c r="B342" s="30" t="s">
        <v>508</v>
      </c>
      <c r="C342" s="30" t="s">
        <v>578</v>
      </c>
      <c r="D342" s="30" t="s">
        <v>1948</v>
      </c>
      <c r="E342" s="35" t="s">
        <v>579</v>
      </c>
      <c r="F342" s="9" t="s">
        <v>2062</v>
      </c>
      <c r="G342" s="10" t="s">
        <v>484</v>
      </c>
      <c r="H342" s="30" t="s">
        <v>1441</v>
      </c>
      <c r="I342" s="30" t="s">
        <v>1441</v>
      </c>
      <c r="J342" s="10" t="s">
        <v>438</v>
      </c>
      <c r="K342" s="10" t="s">
        <v>439</v>
      </c>
      <c r="L342" s="10" t="s">
        <v>439</v>
      </c>
    </row>
    <row r="343" spans="1:12" ht="58" x14ac:dyDescent="0.35">
      <c r="A343" s="30" t="s">
        <v>2063</v>
      </c>
      <c r="B343" s="30" t="s">
        <v>573</v>
      </c>
      <c r="C343" s="30" t="s">
        <v>2064</v>
      </c>
      <c r="D343" s="30" t="s">
        <v>1948</v>
      </c>
      <c r="E343" s="35" t="s">
        <v>2065</v>
      </c>
      <c r="F343" s="9" t="s">
        <v>554</v>
      </c>
      <c r="G343" s="10" t="s">
        <v>484</v>
      </c>
      <c r="H343" s="30" t="s">
        <v>2066</v>
      </c>
      <c r="I343" s="30" t="s">
        <v>2066</v>
      </c>
      <c r="J343" s="10" t="s">
        <v>438</v>
      </c>
      <c r="K343" s="10" t="s">
        <v>439</v>
      </c>
      <c r="L343" s="10" t="s">
        <v>439</v>
      </c>
    </row>
    <row r="344" spans="1:12" s="29" customFormat="1" ht="26" x14ac:dyDescent="0.35">
      <c r="A344" s="31"/>
      <c r="B344" s="33" t="s">
        <v>2454</v>
      </c>
      <c r="C344" s="31"/>
      <c r="D344" s="31"/>
      <c r="E344" s="36"/>
      <c r="F344" s="28"/>
      <c r="G344" s="27"/>
      <c r="H344" s="31"/>
      <c r="I344" s="31"/>
      <c r="J344" s="27"/>
      <c r="K344" s="27"/>
      <c r="L344" s="27"/>
    </row>
    <row r="345" spans="1:12" ht="43.5" x14ac:dyDescent="0.35">
      <c r="A345" s="30" t="s">
        <v>2067</v>
      </c>
      <c r="B345" s="30" t="s">
        <v>2068</v>
      </c>
      <c r="C345" s="30" t="s">
        <v>2069</v>
      </c>
      <c r="D345" s="30" t="s">
        <v>2070</v>
      </c>
      <c r="E345" s="35" t="s">
        <v>568</v>
      </c>
      <c r="F345" s="9" t="s">
        <v>2071</v>
      </c>
      <c r="G345" s="10" t="s">
        <v>435</v>
      </c>
      <c r="H345" s="30" t="s">
        <v>2072</v>
      </c>
      <c r="I345" s="30" t="s">
        <v>2073</v>
      </c>
      <c r="J345" s="10" t="s">
        <v>438</v>
      </c>
      <c r="K345" s="10" t="s">
        <v>439</v>
      </c>
      <c r="L345" s="10" t="s">
        <v>439</v>
      </c>
    </row>
    <row r="346" spans="1:12" ht="29" x14ac:dyDescent="0.35">
      <c r="A346" s="30" t="s">
        <v>2074</v>
      </c>
      <c r="B346" s="30" t="s">
        <v>2075</v>
      </c>
      <c r="C346" s="30" t="s">
        <v>2076</v>
      </c>
      <c r="D346" s="30" t="s">
        <v>2077</v>
      </c>
      <c r="E346" s="35" t="s">
        <v>2078</v>
      </c>
      <c r="F346" s="9" t="s">
        <v>2079</v>
      </c>
      <c r="G346" s="10" t="s">
        <v>435</v>
      </c>
      <c r="H346" s="30" t="s">
        <v>2080</v>
      </c>
      <c r="I346" s="30" t="s">
        <v>2080</v>
      </c>
      <c r="J346" s="10" t="s">
        <v>438</v>
      </c>
      <c r="K346" s="10" t="s">
        <v>439</v>
      </c>
      <c r="L346" s="10" t="s">
        <v>439</v>
      </c>
    </row>
    <row r="347" spans="1:12" ht="29" x14ac:dyDescent="0.35">
      <c r="A347" s="30" t="s">
        <v>2081</v>
      </c>
      <c r="B347" s="30" t="s">
        <v>2082</v>
      </c>
      <c r="C347" s="30" t="s">
        <v>2083</v>
      </c>
      <c r="D347" s="30" t="s">
        <v>2077</v>
      </c>
      <c r="E347" s="35" t="s">
        <v>2084</v>
      </c>
      <c r="F347" s="9" t="s">
        <v>434</v>
      </c>
      <c r="G347" s="10" t="s">
        <v>435</v>
      </c>
      <c r="H347" s="30" t="s">
        <v>2085</v>
      </c>
      <c r="I347" s="30" t="s">
        <v>2085</v>
      </c>
      <c r="J347" s="10" t="s">
        <v>438</v>
      </c>
      <c r="K347" s="10" t="s">
        <v>439</v>
      </c>
      <c r="L347" s="10" t="s">
        <v>439</v>
      </c>
    </row>
    <row r="348" spans="1:12" ht="43.5" x14ac:dyDescent="0.35">
      <c r="A348" s="30" t="s">
        <v>2086</v>
      </c>
      <c r="B348" s="30" t="s">
        <v>2087</v>
      </c>
      <c r="C348" s="30" t="s">
        <v>2088</v>
      </c>
      <c r="D348" s="30" t="s">
        <v>2089</v>
      </c>
      <c r="E348" s="35" t="s">
        <v>568</v>
      </c>
      <c r="F348" s="9" t="s">
        <v>2090</v>
      </c>
      <c r="G348" s="10" t="s">
        <v>435</v>
      </c>
      <c r="H348" s="30" t="s">
        <v>2091</v>
      </c>
      <c r="I348" s="30" t="s">
        <v>2091</v>
      </c>
      <c r="J348" s="10" t="s">
        <v>438</v>
      </c>
      <c r="K348" s="10" t="s">
        <v>439</v>
      </c>
      <c r="L348" s="10" t="s">
        <v>439</v>
      </c>
    </row>
    <row r="349" spans="1:12" ht="43.5" x14ac:dyDescent="0.35">
      <c r="A349" s="30" t="s">
        <v>2092</v>
      </c>
      <c r="B349" s="30" t="s">
        <v>2093</v>
      </c>
      <c r="C349" s="30" t="s">
        <v>2094</v>
      </c>
      <c r="D349" s="30" t="s">
        <v>2089</v>
      </c>
      <c r="E349" s="35" t="s">
        <v>568</v>
      </c>
      <c r="F349" s="9" t="s">
        <v>2095</v>
      </c>
      <c r="G349" s="10" t="s">
        <v>435</v>
      </c>
      <c r="H349" s="30" t="s">
        <v>2096</v>
      </c>
      <c r="I349" s="30" t="s">
        <v>2096</v>
      </c>
      <c r="J349" s="10" t="s">
        <v>438</v>
      </c>
      <c r="K349" s="10" t="s">
        <v>439</v>
      </c>
      <c r="L349" s="10" t="s">
        <v>439</v>
      </c>
    </row>
    <row r="350" spans="1:12" ht="43.5" x14ac:dyDescent="0.35">
      <c r="A350" s="30" t="s">
        <v>2097</v>
      </c>
      <c r="B350" s="30" t="s">
        <v>2098</v>
      </c>
      <c r="C350" s="30" t="s">
        <v>2099</v>
      </c>
      <c r="D350" s="30" t="s">
        <v>2089</v>
      </c>
      <c r="E350" s="35" t="s">
        <v>568</v>
      </c>
      <c r="F350" s="9" t="s">
        <v>2100</v>
      </c>
      <c r="G350" s="10" t="s">
        <v>435</v>
      </c>
      <c r="H350" s="30" t="s">
        <v>2101</v>
      </c>
      <c r="I350" s="30" t="s">
        <v>2101</v>
      </c>
      <c r="J350" s="10" t="s">
        <v>438</v>
      </c>
      <c r="K350" s="10" t="s">
        <v>439</v>
      </c>
      <c r="L350" s="10" t="s">
        <v>439</v>
      </c>
    </row>
    <row r="351" spans="1:12" ht="43.5" x14ac:dyDescent="0.35">
      <c r="A351" s="30" t="s">
        <v>2102</v>
      </c>
      <c r="B351" s="30" t="s">
        <v>830</v>
      </c>
      <c r="C351" s="30" t="s">
        <v>831</v>
      </c>
      <c r="D351" s="30" t="s">
        <v>2089</v>
      </c>
      <c r="E351" s="35" t="s">
        <v>832</v>
      </c>
      <c r="F351" s="9" t="s">
        <v>2103</v>
      </c>
      <c r="G351" s="10" t="s">
        <v>435</v>
      </c>
      <c r="H351" s="30" t="s">
        <v>2104</v>
      </c>
      <c r="I351" s="30" t="s">
        <v>2104</v>
      </c>
      <c r="J351" s="10" t="s">
        <v>438</v>
      </c>
      <c r="K351" s="10" t="s">
        <v>439</v>
      </c>
      <c r="L351" s="10" t="s">
        <v>439</v>
      </c>
    </row>
    <row r="352" spans="1:12" ht="43.5" x14ac:dyDescent="0.35">
      <c r="A352" s="30" t="s">
        <v>2105</v>
      </c>
      <c r="B352" s="30" t="s">
        <v>2106</v>
      </c>
      <c r="C352" s="30" t="s">
        <v>2107</v>
      </c>
      <c r="D352" s="30" t="s">
        <v>2089</v>
      </c>
      <c r="E352" s="35" t="s">
        <v>568</v>
      </c>
      <c r="F352" s="9" t="s">
        <v>2108</v>
      </c>
      <c r="G352" s="10" t="s">
        <v>435</v>
      </c>
      <c r="H352" s="30" t="s">
        <v>2109</v>
      </c>
      <c r="I352" s="30" t="s">
        <v>2109</v>
      </c>
      <c r="J352" s="10" t="s">
        <v>438</v>
      </c>
      <c r="K352" s="10" t="s">
        <v>439</v>
      </c>
      <c r="L352" s="10" t="s">
        <v>439</v>
      </c>
    </row>
    <row r="353" spans="1:12" ht="58" x14ac:dyDescent="0.35">
      <c r="A353" s="30" t="s">
        <v>2110</v>
      </c>
      <c r="B353" s="30" t="s">
        <v>2111</v>
      </c>
      <c r="C353" s="30" t="s">
        <v>2112</v>
      </c>
      <c r="D353" s="30" t="s">
        <v>2089</v>
      </c>
      <c r="E353" s="35" t="s">
        <v>568</v>
      </c>
      <c r="F353" s="9" t="s">
        <v>2113</v>
      </c>
      <c r="G353" s="10" t="s">
        <v>484</v>
      </c>
      <c r="H353" s="30" t="s">
        <v>2114</v>
      </c>
      <c r="I353" s="30" t="s">
        <v>2114</v>
      </c>
      <c r="J353" s="10" t="s">
        <v>438</v>
      </c>
      <c r="K353" s="10" t="s">
        <v>439</v>
      </c>
      <c r="L353" s="10" t="s">
        <v>439</v>
      </c>
    </row>
    <row r="354" spans="1:12" ht="43.5" x14ac:dyDescent="0.35">
      <c r="A354" s="30" t="s">
        <v>2115</v>
      </c>
      <c r="B354" s="30" t="s">
        <v>2116</v>
      </c>
      <c r="C354" s="30" t="s">
        <v>809</v>
      </c>
      <c r="D354" s="30" t="s">
        <v>2089</v>
      </c>
      <c r="E354" s="35" t="s">
        <v>568</v>
      </c>
      <c r="F354" s="9" t="s">
        <v>2117</v>
      </c>
      <c r="G354" s="10" t="s">
        <v>435</v>
      </c>
      <c r="H354" s="30" t="s">
        <v>2118</v>
      </c>
      <c r="I354" s="30" t="s">
        <v>2119</v>
      </c>
      <c r="J354" s="10" t="s">
        <v>470</v>
      </c>
      <c r="K354" s="10" t="s">
        <v>439</v>
      </c>
      <c r="L354" s="10" t="s">
        <v>439</v>
      </c>
    </row>
    <row r="355" spans="1:12" ht="43.5" x14ac:dyDescent="0.35">
      <c r="A355" s="30" t="s">
        <v>2120</v>
      </c>
      <c r="B355" s="30" t="s">
        <v>2121</v>
      </c>
      <c r="C355" s="30" t="s">
        <v>815</v>
      </c>
      <c r="D355" s="30" t="s">
        <v>2122</v>
      </c>
      <c r="E355" s="35" t="s">
        <v>568</v>
      </c>
      <c r="F355" s="9" t="s">
        <v>2123</v>
      </c>
      <c r="G355" s="10" t="s">
        <v>435</v>
      </c>
      <c r="H355" s="30" t="s">
        <v>2124</v>
      </c>
      <c r="I355" s="30" t="s">
        <v>2124</v>
      </c>
      <c r="J355" s="10" t="s">
        <v>438</v>
      </c>
      <c r="K355" s="10" t="s">
        <v>439</v>
      </c>
      <c r="L355" s="10" t="s">
        <v>439</v>
      </c>
    </row>
    <row r="356" spans="1:12" ht="43.5" x14ac:dyDescent="0.35">
      <c r="A356" s="30" t="s">
        <v>2125</v>
      </c>
      <c r="B356" s="30" t="s">
        <v>2126</v>
      </c>
      <c r="C356" s="30" t="s">
        <v>2127</v>
      </c>
      <c r="D356" s="30" t="s">
        <v>2128</v>
      </c>
      <c r="E356" s="35" t="s">
        <v>568</v>
      </c>
      <c r="F356" s="9" t="s">
        <v>2129</v>
      </c>
      <c r="G356" s="10" t="s">
        <v>435</v>
      </c>
      <c r="H356" s="30" t="s">
        <v>2130</v>
      </c>
      <c r="I356" s="30" t="s">
        <v>2130</v>
      </c>
      <c r="J356" s="10" t="s">
        <v>438</v>
      </c>
      <c r="K356" s="10" t="s">
        <v>439</v>
      </c>
      <c r="L356" s="10" t="s">
        <v>439</v>
      </c>
    </row>
    <row r="357" spans="1:12" ht="43.5" x14ac:dyDescent="0.35">
      <c r="A357" s="30" t="s">
        <v>2131</v>
      </c>
      <c r="B357" s="30" t="s">
        <v>2132</v>
      </c>
      <c r="C357" s="30" t="s">
        <v>2133</v>
      </c>
      <c r="D357" s="30" t="s">
        <v>2128</v>
      </c>
      <c r="E357" s="35" t="s">
        <v>568</v>
      </c>
      <c r="F357" s="9" t="s">
        <v>2134</v>
      </c>
      <c r="G357" s="10" t="s">
        <v>484</v>
      </c>
      <c r="H357" s="30" t="s">
        <v>2135</v>
      </c>
      <c r="I357" s="30" t="s">
        <v>2135</v>
      </c>
      <c r="J357" s="10" t="s">
        <v>438</v>
      </c>
      <c r="K357" s="10" t="s">
        <v>439</v>
      </c>
      <c r="L357" s="10" t="s">
        <v>439</v>
      </c>
    </row>
    <row r="358" spans="1:12" ht="43.5" x14ac:dyDescent="0.35">
      <c r="A358" s="30" t="s">
        <v>2136</v>
      </c>
      <c r="B358" s="30" t="s">
        <v>2137</v>
      </c>
      <c r="C358" s="30" t="s">
        <v>2138</v>
      </c>
      <c r="D358" s="30" t="s">
        <v>2128</v>
      </c>
      <c r="E358" s="35" t="s">
        <v>568</v>
      </c>
      <c r="F358" s="9" t="s">
        <v>2139</v>
      </c>
      <c r="G358" s="10" t="s">
        <v>538</v>
      </c>
      <c r="H358" s="30" t="s">
        <v>2140</v>
      </c>
      <c r="I358" s="30" t="s">
        <v>2141</v>
      </c>
      <c r="J358" s="10" t="s">
        <v>438</v>
      </c>
      <c r="K358" s="10" t="s">
        <v>439</v>
      </c>
      <c r="L358" s="10" t="s">
        <v>439</v>
      </c>
    </row>
    <row r="359" spans="1:12" ht="145" x14ac:dyDescent="0.35">
      <c r="A359" s="30" t="s">
        <v>2142</v>
      </c>
      <c r="B359" s="30" t="s">
        <v>2143</v>
      </c>
      <c r="C359" s="30" t="s">
        <v>2144</v>
      </c>
      <c r="D359" s="30" t="s">
        <v>2128</v>
      </c>
      <c r="E359" s="35" t="s">
        <v>1182</v>
      </c>
      <c r="F359" s="9" t="s">
        <v>2145</v>
      </c>
      <c r="G359" s="10" t="s">
        <v>538</v>
      </c>
      <c r="H359" s="30" t="s">
        <v>2146</v>
      </c>
      <c r="I359" s="30" t="s">
        <v>2147</v>
      </c>
      <c r="J359" s="10" t="s">
        <v>470</v>
      </c>
      <c r="K359" s="10" t="s">
        <v>439</v>
      </c>
      <c r="L359" s="10" t="s">
        <v>439</v>
      </c>
    </row>
    <row r="360" spans="1:12" ht="58" x14ac:dyDescent="0.35">
      <c r="A360" s="30" t="s">
        <v>2148</v>
      </c>
      <c r="B360" s="30" t="s">
        <v>2149</v>
      </c>
      <c r="C360" s="30" t="s">
        <v>2150</v>
      </c>
      <c r="D360" s="30" t="s">
        <v>2151</v>
      </c>
      <c r="E360" s="35" t="s">
        <v>568</v>
      </c>
      <c r="F360" s="9" t="s">
        <v>2152</v>
      </c>
      <c r="G360" s="10" t="s">
        <v>484</v>
      </c>
      <c r="H360" s="30" t="s">
        <v>2153</v>
      </c>
      <c r="I360" s="30" t="s">
        <v>2153</v>
      </c>
      <c r="J360" s="10" t="s">
        <v>438</v>
      </c>
      <c r="K360" s="10" t="s">
        <v>439</v>
      </c>
      <c r="L360" s="10" t="s">
        <v>439</v>
      </c>
    </row>
    <row r="361" spans="1:12" ht="43.5" x14ac:dyDescent="0.35">
      <c r="A361" s="30" t="s">
        <v>2154</v>
      </c>
      <c r="B361" s="30" t="s">
        <v>2155</v>
      </c>
      <c r="C361" s="30" t="s">
        <v>2156</v>
      </c>
      <c r="D361" s="30" t="s">
        <v>2157</v>
      </c>
      <c r="E361" s="35" t="s">
        <v>568</v>
      </c>
      <c r="F361" s="9" t="s">
        <v>2158</v>
      </c>
      <c r="G361" s="10" t="s">
        <v>538</v>
      </c>
      <c r="H361" s="30" t="s">
        <v>2159</v>
      </c>
      <c r="I361" s="30" t="s">
        <v>2160</v>
      </c>
      <c r="J361" s="10" t="s">
        <v>470</v>
      </c>
      <c r="K361" s="10" t="s">
        <v>439</v>
      </c>
      <c r="L361" s="10" t="s">
        <v>439</v>
      </c>
    </row>
    <row r="362" spans="1:12" ht="43.5" x14ac:dyDescent="0.35">
      <c r="A362" s="30" t="s">
        <v>2161</v>
      </c>
      <c r="B362" s="30" t="s">
        <v>2162</v>
      </c>
      <c r="C362" s="30" t="s">
        <v>2163</v>
      </c>
      <c r="D362" s="30" t="s">
        <v>2164</v>
      </c>
      <c r="E362" s="35" t="s">
        <v>2165</v>
      </c>
      <c r="F362" s="9" t="s">
        <v>2166</v>
      </c>
      <c r="G362" s="10" t="s">
        <v>435</v>
      </c>
      <c r="H362" s="30" t="s">
        <v>2167</v>
      </c>
      <c r="I362" s="30" t="s">
        <v>2167</v>
      </c>
      <c r="J362" s="10" t="s">
        <v>438</v>
      </c>
      <c r="K362" s="10" t="s">
        <v>439</v>
      </c>
      <c r="L362" s="10" t="s">
        <v>439</v>
      </c>
    </row>
    <row r="363" spans="1:12" ht="43.5" x14ac:dyDescent="0.35">
      <c r="A363" s="30" t="s">
        <v>2168</v>
      </c>
      <c r="B363" s="30" t="s">
        <v>508</v>
      </c>
      <c r="C363" s="30" t="s">
        <v>578</v>
      </c>
      <c r="D363" s="30" t="s">
        <v>2164</v>
      </c>
      <c r="E363" s="35" t="s">
        <v>579</v>
      </c>
      <c r="F363" s="9" t="s">
        <v>2169</v>
      </c>
      <c r="G363" s="10" t="s">
        <v>484</v>
      </c>
      <c r="H363" s="30" t="s">
        <v>1441</v>
      </c>
      <c r="I363" s="30" t="s">
        <v>1441</v>
      </c>
      <c r="J363" s="10" t="s">
        <v>438</v>
      </c>
      <c r="K363" s="10" t="s">
        <v>439</v>
      </c>
      <c r="L363" s="10" t="s">
        <v>439</v>
      </c>
    </row>
    <row r="364" spans="1:12" ht="29" x14ac:dyDescent="0.35">
      <c r="A364" s="30" t="s">
        <v>2170</v>
      </c>
      <c r="B364" s="30" t="s">
        <v>573</v>
      </c>
      <c r="C364" s="30" t="s">
        <v>2171</v>
      </c>
      <c r="D364" s="30" t="s">
        <v>2164</v>
      </c>
      <c r="E364" s="35" t="s">
        <v>2172</v>
      </c>
      <c r="F364" s="9" t="s">
        <v>554</v>
      </c>
      <c r="G364" s="10" t="s">
        <v>484</v>
      </c>
      <c r="H364" s="30" t="s">
        <v>2173</v>
      </c>
      <c r="I364" s="30" t="s">
        <v>2173</v>
      </c>
      <c r="J364" s="10" t="s">
        <v>438</v>
      </c>
      <c r="K364" s="10" t="s">
        <v>439</v>
      </c>
      <c r="L364" s="10" t="s">
        <v>439</v>
      </c>
    </row>
    <row r="365" spans="1:12" ht="43.5" x14ac:dyDescent="0.35">
      <c r="A365" s="30" t="s">
        <v>2174</v>
      </c>
      <c r="B365" s="30" t="s">
        <v>2175</v>
      </c>
      <c r="C365" s="30" t="s">
        <v>2176</v>
      </c>
      <c r="D365" s="30" t="s">
        <v>2164</v>
      </c>
      <c r="E365" s="35" t="s">
        <v>2177</v>
      </c>
      <c r="F365" s="9" t="s">
        <v>2178</v>
      </c>
      <c r="G365" s="10" t="s">
        <v>435</v>
      </c>
      <c r="H365" s="30" t="s">
        <v>2179</v>
      </c>
      <c r="I365" s="30" t="s">
        <v>2179</v>
      </c>
      <c r="J365" s="10" t="s">
        <v>438</v>
      </c>
      <c r="K365" s="10" t="s">
        <v>439</v>
      </c>
      <c r="L365" s="10" t="s">
        <v>439</v>
      </c>
    </row>
    <row r="366" spans="1:12" ht="29" x14ac:dyDescent="0.35">
      <c r="A366" s="30" t="s">
        <v>2180</v>
      </c>
      <c r="B366" s="30" t="s">
        <v>2181</v>
      </c>
      <c r="C366" s="30" t="s">
        <v>2182</v>
      </c>
      <c r="D366" s="30" t="s">
        <v>2164</v>
      </c>
      <c r="E366" s="35" t="s">
        <v>2183</v>
      </c>
      <c r="F366" s="9" t="s">
        <v>554</v>
      </c>
      <c r="G366" s="10" t="s">
        <v>538</v>
      </c>
      <c r="H366" s="30" t="s">
        <v>2184</v>
      </c>
      <c r="I366" s="30" t="s">
        <v>2185</v>
      </c>
      <c r="J366" s="10" t="s">
        <v>438</v>
      </c>
      <c r="K366" s="10" t="s">
        <v>439</v>
      </c>
      <c r="L366" s="10" t="s">
        <v>439</v>
      </c>
    </row>
    <row r="367" spans="1:12" ht="43.5" x14ac:dyDescent="0.35">
      <c r="A367" s="30" t="s">
        <v>419</v>
      </c>
      <c r="B367" s="30" t="s">
        <v>2186</v>
      </c>
      <c r="C367" s="30" t="s">
        <v>847</v>
      </c>
      <c r="D367" s="30" t="s">
        <v>2164</v>
      </c>
      <c r="E367" s="35" t="s">
        <v>568</v>
      </c>
      <c r="F367" s="9" t="s">
        <v>2187</v>
      </c>
      <c r="G367" s="10" t="s">
        <v>484</v>
      </c>
      <c r="H367" s="30" t="s">
        <v>2188</v>
      </c>
      <c r="I367" s="30" t="s">
        <v>2188</v>
      </c>
      <c r="J367" s="10" t="s">
        <v>438</v>
      </c>
      <c r="K367" s="10" t="s">
        <v>439</v>
      </c>
      <c r="L367" s="10" t="s">
        <v>439</v>
      </c>
    </row>
  </sheetData>
  <conditionalFormatting sqref="G2:G667">
    <cfRule type="cellIs" dxfId="34" priority="7" operator="equal">
      <formula>"High"</formula>
    </cfRule>
    <cfRule type="cellIs" dxfId="33" priority="8" operator="equal">
      <formula>"Medium"</formula>
    </cfRule>
    <cfRule type="cellIs" dxfId="32" priority="9" operator="equal">
      <formula>"Low"</formula>
    </cfRule>
  </conditionalFormatting>
  <conditionalFormatting sqref="J2:J667">
    <cfRule type="cellIs" dxfId="31" priority="2" operator="equal">
      <formula>"Pass"</formula>
    </cfRule>
    <cfRule type="cellIs" dxfId="30" priority="3" operator="equal">
      <formula>"Fail"</formula>
    </cfRule>
    <cfRule type="cellIs" dxfId="29" priority="4" operator="equal">
      <formula>"Blocked"</formula>
    </cfRule>
    <cfRule type="cellIs" dxfId="28" priority="5" operator="equal">
      <formula>"Not Applicable"</formula>
    </cfRule>
    <cfRule type="cellIs" dxfId="27" priority="6" operator="equal">
      <formula>"Not Executed"</formula>
    </cfRule>
  </conditionalFormatting>
  <dataValidations count="2">
    <dataValidation type="list" allowBlank="1" sqref="J2:J667" xr:uid="{00000000-0002-0000-0200-000000000000}">
      <formula1>"Not Executed,Pass,Fail,Blocked,Not Applicable"</formula1>
      <formula2>0</formula2>
    </dataValidation>
    <dataValidation type="list" allowBlank="1" sqref="G2:G667" xr:uid="{00000000-0002-0000-0200-000001000000}">
      <formula1>"High,Medium,Low"</formula1>
      <formula2>0</formula2>
    </dataValidation>
  </dataValidations>
  <pageMargins left="0.75" right="0.75" top="1" bottom="1" header="0.511811023622047" footer="0.511811023622047"/>
  <pageSetup paperSize="9" orientation="portrait"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2"/>
  <sheetViews>
    <sheetView zoomScale="93" zoomScaleNormal="100" workbookViewId="0">
      <pane xSplit="1" ySplit="1" topLeftCell="B124" activePane="bottomRight" state="frozen"/>
      <selection pane="topRight" activeCell="B1" sqref="B1"/>
      <selection pane="bottomLeft" activeCell="A2" sqref="A2"/>
      <selection pane="bottomRight" sqref="A1:XFD1"/>
    </sheetView>
  </sheetViews>
  <sheetFormatPr defaultColWidth="8.6328125" defaultRowHeight="14.5" x14ac:dyDescent="0.35"/>
  <cols>
    <col min="1" max="1" width="14" customWidth="1"/>
    <col min="2" max="2" width="12" customWidth="1"/>
    <col min="3" max="3" width="22" customWidth="1"/>
    <col min="4" max="4" width="58" customWidth="1"/>
    <col min="5" max="5" width="14" customWidth="1"/>
    <col min="6" max="6" width="46" customWidth="1"/>
    <col min="7" max="7" width="13.08984375" customWidth="1"/>
    <col min="8" max="9" width="8" customWidth="1"/>
    <col min="10" max="10" width="9" customWidth="1"/>
    <col min="11" max="11" width="17" customWidth="1"/>
    <col min="12" max="12" width="24" customWidth="1"/>
  </cols>
  <sheetData>
    <row r="1" spans="1:12" s="26" customFormat="1" ht="35" x14ac:dyDescent="0.45">
      <c r="A1" s="25" t="s">
        <v>2189</v>
      </c>
      <c r="B1" s="25" t="s">
        <v>2190</v>
      </c>
      <c r="C1" s="25" t="s">
        <v>2191</v>
      </c>
      <c r="D1" s="25" t="s">
        <v>2192</v>
      </c>
      <c r="E1" s="25" t="s">
        <v>2193</v>
      </c>
      <c r="F1" s="25" t="s">
        <v>2194</v>
      </c>
      <c r="G1" s="25" t="s">
        <v>2195</v>
      </c>
      <c r="H1" s="25" t="s">
        <v>438</v>
      </c>
      <c r="I1" s="25" t="s">
        <v>470</v>
      </c>
      <c r="J1" s="25" t="s">
        <v>678</v>
      </c>
      <c r="K1" s="25" t="s">
        <v>2196</v>
      </c>
      <c r="L1" s="25" t="s">
        <v>2197</v>
      </c>
    </row>
    <row r="2" spans="1:12" ht="29" x14ac:dyDescent="0.35">
      <c r="A2" s="10" t="s">
        <v>2198</v>
      </c>
      <c r="B2" s="10" t="s">
        <v>2199</v>
      </c>
      <c r="C2" s="9" t="s">
        <v>2200</v>
      </c>
      <c r="D2" s="9" t="s">
        <v>2201</v>
      </c>
      <c r="E2" s="10" t="s">
        <v>2202</v>
      </c>
      <c r="F2" s="9" t="s">
        <v>2203</v>
      </c>
      <c r="G2" s="10">
        <f>SUMPRODUCT(COUNTIF('Test Cases'!$A$2:$A$1513,{"TC_LG_002","TC_LG_004"}))</f>
        <v>2</v>
      </c>
      <c r="H2" s="10">
        <f>SUMPRODUCT(COUNTIFS('Test Cases'!$A$2:$A$1513,{"TC_LG_002","TC_LG_004"},'Test Cases'!$J$2:$J$1513,"Pass"))</f>
        <v>2</v>
      </c>
      <c r="I2" s="10">
        <f>SUMPRODUCT(COUNTIFS('Test Cases'!$A$2:$A$1513,{"TC_LG_002","TC_LG_004"},'Test Cases'!$J$2:$J$1513,"Fail"))</f>
        <v>0</v>
      </c>
      <c r="J2" s="10">
        <f>SUMPRODUCT(COUNTIFS('Test Cases'!$A$2:$A$1513,{"TC_LG_002","TC_LG_004"},'Test Cases'!$J$2:$J$1513,"Blocked"))</f>
        <v>0</v>
      </c>
      <c r="K2" s="10" t="str">
        <f t="shared" ref="K2:K33" si="0">IF(G2=0,"Not covered",IF(I2&gt;0,"Fail",IF(J2&gt;0,"Blocked",IF(H2=G2,"Pass","Partially executed"))))</f>
        <v>Pass</v>
      </c>
      <c r="L2" s="9" t="s">
        <v>55</v>
      </c>
    </row>
    <row r="3" spans="1:12" ht="29" x14ac:dyDescent="0.35">
      <c r="A3" s="10" t="s">
        <v>2204</v>
      </c>
      <c r="B3" s="10" t="s">
        <v>2199</v>
      </c>
      <c r="C3" s="9" t="s">
        <v>2200</v>
      </c>
      <c r="D3" s="9" t="s">
        <v>2205</v>
      </c>
      <c r="E3" s="10" t="s">
        <v>2206</v>
      </c>
      <c r="F3" s="9" t="s">
        <v>2207</v>
      </c>
      <c r="G3" s="10">
        <f>SUMPRODUCT(COUNTIF('Test Cases'!$A$2:$A$1513,{"TC_LG_003","TC_LG_004"}))</f>
        <v>2</v>
      </c>
      <c r="H3" s="10">
        <f>SUMPRODUCT(COUNTIFS('Test Cases'!$A$2:$A$1513,{"TC_LG_003","TC_LG_004"},'Test Cases'!$J$2:$J$1513,"Pass"))</f>
        <v>2</v>
      </c>
      <c r="I3" s="10">
        <f>SUMPRODUCT(COUNTIFS('Test Cases'!$A$2:$A$1513,{"TC_LG_003","TC_LG_004"},'Test Cases'!$J$2:$J$1513,"Fail"))</f>
        <v>0</v>
      </c>
      <c r="J3" s="10">
        <f>SUMPRODUCT(COUNTIFS('Test Cases'!$A$2:$A$1513,{"TC_LG_003","TC_LG_004"},'Test Cases'!$J$2:$J$1513,"Blocked"))</f>
        <v>0</v>
      </c>
      <c r="K3" s="10" t="str">
        <f t="shared" si="0"/>
        <v>Pass</v>
      </c>
      <c r="L3" s="9" t="s">
        <v>55</v>
      </c>
    </row>
    <row r="4" spans="1:12" ht="29" x14ac:dyDescent="0.35">
      <c r="A4" s="10" t="s">
        <v>62</v>
      </c>
      <c r="B4" s="10" t="s">
        <v>2199</v>
      </c>
      <c r="C4" s="9" t="s">
        <v>2200</v>
      </c>
      <c r="D4" s="9" t="s">
        <v>2208</v>
      </c>
      <c r="E4" s="10" t="s">
        <v>2209</v>
      </c>
      <c r="F4" s="9" t="s">
        <v>63</v>
      </c>
      <c r="G4" s="10">
        <f>SUMPRODUCT(COUNTIF('Test Cases'!$A$2:$A$1513,{"TC_LG_005","TC_LG_006"}))</f>
        <v>2</v>
      </c>
      <c r="H4" s="10">
        <f>SUMPRODUCT(COUNTIFS('Test Cases'!$A$2:$A$1513,{"TC_LG_005","TC_LG_006"},'Test Cases'!$J$2:$J$1513,"Pass"))</f>
        <v>0</v>
      </c>
      <c r="I4" s="10">
        <f>SUMPRODUCT(COUNTIFS('Test Cases'!$A$2:$A$1513,{"TC_LG_005","TC_LG_006"},'Test Cases'!$J$2:$J$1513,"Fail"))</f>
        <v>2</v>
      </c>
      <c r="J4" s="10">
        <f>SUMPRODUCT(COUNTIFS('Test Cases'!$A$2:$A$1513,{"TC_LG_005","TC_LG_006"},'Test Cases'!$J$2:$J$1513,"Blocked"))</f>
        <v>0</v>
      </c>
      <c r="K4" s="10" t="str">
        <f t="shared" si="0"/>
        <v>Fail</v>
      </c>
      <c r="L4" s="9" t="s">
        <v>2210</v>
      </c>
    </row>
    <row r="5" spans="1:12" ht="29" x14ac:dyDescent="0.35">
      <c r="A5" s="10" t="s">
        <v>73</v>
      </c>
      <c r="B5" s="10" t="s">
        <v>2199</v>
      </c>
      <c r="C5" s="9" t="s">
        <v>2200</v>
      </c>
      <c r="D5" s="9" t="s">
        <v>2211</v>
      </c>
      <c r="E5" s="10" t="s">
        <v>2212</v>
      </c>
      <c r="F5" s="9" t="s">
        <v>74</v>
      </c>
      <c r="G5" s="10">
        <f>SUMPRODUCT(COUNTIF('Test Cases'!$A$2:$A$1513,{"TC_LG_010"}))</f>
        <v>1</v>
      </c>
      <c r="H5" s="10">
        <f>SUMPRODUCT(COUNTIFS('Test Cases'!$A$2:$A$1513,{"TC_LG_010"},'Test Cases'!$J$2:$J$1513,"Pass"))</f>
        <v>0</v>
      </c>
      <c r="I5" s="10">
        <f>SUMPRODUCT(COUNTIFS('Test Cases'!$A$2:$A$1513,{"TC_LG_010"},'Test Cases'!$J$2:$J$1513,"Fail"))</f>
        <v>1</v>
      </c>
      <c r="J5" s="10">
        <f>SUMPRODUCT(COUNTIFS('Test Cases'!$A$2:$A$1513,{"TC_LG_010"},'Test Cases'!$J$2:$J$1513,"Blocked"))</f>
        <v>0</v>
      </c>
      <c r="K5" s="10" t="str">
        <f t="shared" si="0"/>
        <v>Fail</v>
      </c>
      <c r="L5" s="9" t="s">
        <v>2213</v>
      </c>
    </row>
    <row r="6" spans="1:12" ht="29" x14ac:dyDescent="0.35">
      <c r="A6" s="10" t="s">
        <v>2214</v>
      </c>
      <c r="B6" s="10" t="s">
        <v>2199</v>
      </c>
      <c r="C6" s="9" t="s">
        <v>2200</v>
      </c>
      <c r="D6" s="9" t="s">
        <v>2215</v>
      </c>
      <c r="E6" s="10" t="s">
        <v>2216</v>
      </c>
      <c r="F6" s="9" t="s">
        <v>70</v>
      </c>
      <c r="G6" s="10">
        <f>SUMPRODUCT(COUNTIF('Test Cases'!$A$2:$A$1513,{"TC_LG_009"}))</f>
        <v>1</v>
      </c>
      <c r="H6" s="10">
        <f>SUMPRODUCT(COUNTIFS('Test Cases'!$A$2:$A$1513,{"TC_LG_009"},'Test Cases'!$J$2:$J$1513,"Pass"))</f>
        <v>0</v>
      </c>
      <c r="I6" s="10">
        <f>SUMPRODUCT(COUNTIFS('Test Cases'!$A$2:$A$1513,{"TC_LG_009"},'Test Cases'!$J$2:$J$1513,"Fail"))</f>
        <v>1</v>
      </c>
      <c r="J6" s="10">
        <f>SUMPRODUCT(COUNTIFS('Test Cases'!$A$2:$A$1513,{"TC_LG_009"},'Test Cases'!$J$2:$J$1513,"Blocked"))</f>
        <v>0</v>
      </c>
      <c r="K6" s="10" t="str">
        <f t="shared" si="0"/>
        <v>Fail</v>
      </c>
      <c r="L6" s="9" t="s">
        <v>2213</v>
      </c>
    </row>
    <row r="7" spans="1:12" x14ac:dyDescent="0.35">
      <c r="A7" s="10" t="s">
        <v>2217</v>
      </c>
      <c r="B7" s="10" t="s">
        <v>2218</v>
      </c>
      <c r="C7" s="9" t="s">
        <v>2219</v>
      </c>
      <c r="D7" s="9" t="s">
        <v>2220</v>
      </c>
      <c r="E7" s="10" t="s">
        <v>2221</v>
      </c>
      <c r="F7" s="9" t="s">
        <v>596</v>
      </c>
      <c r="G7" s="10">
        <f>SUMPRODUCT(COUNTIF('Test Cases'!$A$2:$A$1513,{"TC_NC_006"}))</f>
        <v>1</v>
      </c>
      <c r="H7" s="10">
        <f>SUMPRODUCT(COUNTIFS('Test Cases'!$A$2:$A$1513,{"TC_NC_006"},'Test Cases'!$J$2:$J$1513,"Pass"))</f>
        <v>1</v>
      </c>
      <c r="I7" s="10">
        <f>SUMPRODUCT(COUNTIFS('Test Cases'!$A$2:$A$1513,{"TC_NC_006"},'Test Cases'!$J$2:$J$1513,"Fail"))</f>
        <v>0</v>
      </c>
      <c r="J7" s="10">
        <f>SUMPRODUCT(COUNTIFS('Test Cases'!$A$2:$A$1513,{"TC_NC_006"},'Test Cases'!$J$2:$J$1513,"Blocked"))</f>
        <v>0</v>
      </c>
      <c r="K7" s="10" t="str">
        <f t="shared" si="0"/>
        <v>Pass</v>
      </c>
      <c r="L7" s="9" t="s">
        <v>55</v>
      </c>
    </row>
    <row r="8" spans="1:12" x14ac:dyDescent="0.35">
      <c r="A8" s="10" t="s">
        <v>2222</v>
      </c>
      <c r="B8" s="10" t="s">
        <v>2218</v>
      </c>
      <c r="C8" s="9" t="s">
        <v>2219</v>
      </c>
      <c r="D8" s="9" t="s">
        <v>2223</v>
      </c>
      <c r="E8" s="10" t="s">
        <v>2224</v>
      </c>
      <c r="F8" s="9" t="s">
        <v>602</v>
      </c>
      <c r="G8" s="10">
        <f>SUMPRODUCT(COUNTIF('Test Cases'!$A$2:$A$1513,{"TC_NC_007"}))</f>
        <v>1</v>
      </c>
      <c r="H8" s="10">
        <f>SUMPRODUCT(COUNTIFS('Test Cases'!$A$2:$A$1513,{"TC_NC_007"},'Test Cases'!$J$2:$J$1513,"Pass"))</f>
        <v>1</v>
      </c>
      <c r="I8" s="10">
        <f>SUMPRODUCT(COUNTIFS('Test Cases'!$A$2:$A$1513,{"TC_NC_007"},'Test Cases'!$J$2:$J$1513,"Fail"))</f>
        <v>0</v>
      </c>
      <c r="J8" s="10">
        <f>SUMPRODUCT(COUNTIFS('Test Cases'!$A$2:$A$1513,{"TC_NC_007"},'Test Cases'!$J$2:$J$1513,"Blocked"))</f>
        <v>0</v>
      </c>
      <c r="K8" s="10" t="str">
        <f t="shared" si="0"/>
        <v>Pass</v>
      </c>
      <c r="L8" s="9" t="s">
        <v>55</v>
      </c>
    </row>
    <row r="9" spans="1:12" x14ac:dyDescent="0.35">
      <c r="A9" s="10" t="s">
        <v>2225</v>
      </c>
      <c r="B9" s="10" t="s">
        <v>2218</v>
      </c>
      <c r="C9" s="9" t="s">
        <v>2219</v>
      </c>
      <c r="D9" s="9" t="s">
        <v>2226</v>
      </c>
      <c r="E9" s="10" t="s">
        <v>2227</v>
      </c>
      <c r="F9" s="9" t="s">
        <v>607</v>
      </c>
      <c r="G9" s="10">
        <f>SUMPRODUCT(COUNTIF('Test Cases'!$A$2:$A$1513,{"TC_NC_008"}))</f>
        <v>1</v>
      </c>
      <c r="H9" s="10">
        <f>SUMPRODUCT(COUNTIFS('Test Cases'!$A$2:$A$1513,{"TC_NC_008"},'Test Cases'!$J$2:$J$1513,"Pass"))</f>
        <v>1</v>
      </c>
      <c r="I9" s="10">
        <f>SUMPRODUCT(COUNTIFS('Test Cases'!$A$2:$A$1513,{"TC_NC_008"},'Test Cases'!$J$2:$J$1513,"Fail"))</f>
        <v>0</v>
      </c>
      <c r="J9" s="10">
        <f>SUMPRODUCT(COUNTIFS('Test Cases'!$A$2:$A$1513,{"TC_NC_008"},'Test Cases'!$J$2:$J$1513,"Blocked"))</f>
        <v>0</v>
      </c>
      <c r="K9" s="10" t="str">
        <f t="shared" si="0"/>
        <v>Pass</v>
      </c>
      <c r="L9" s="9" t="s">
        <v>55</v>
      </c>
    </row>
    <row r="10" spans="1:12" x14ac:dyDescent="0.35">
      <c r="A10" s="10" t="s">
        <v>2228</v>
      </c>
      <c r="B10" s="10" t="s">
        <v>2218</v>
      </c>
      <c r="C10" s="9" t="s">
        <v>2219</v>
      </c>
      <c r="D10" s="9" t="s">
        <v>2229</v>
      </c>
      <c r="E10" s="10" t="s">
        <v>2230</v>
      </c>
      <c r="F10" s="9" t="s">
        <v>612</v>
      </c>
      <c r="G10" s="10">
        <f>SUMPRODUCT(COUNTIF('Test Cases'!$A$2:$A$1513,{"TC_NC_009"}))</f>
        <v>1</v>
      </c>
      <c r="H10" s="10">
        <f>SUMPRODUCT(COUNTIFS('Test Cases'!$A$2:$A$1513,{"TC_NC_009"},'Test Cases'!$J$2:$J$1513,"Pass"))</f>
        <v>1</v>
      </c>
      <c r="I10" s="10">
        <f>SUMPRODUCT(COUNTIFS('Test Cases'!$A$2:$A$1513,{"TC_NC_009"},'Test Cases'!$J$2:$J$1513,"Fail"))</f>
        <v>0</v>
      </c>
      <c r="J10" s="10">
        <f>SUMPRODUCT(COUNTIFS('Test Cases'!$A$2:$A$1513,{"TC_NC_009"},'Test Cases'!$J$2:$J$1513,"Blocked"))</f>
        <v>0</v>
      </c>
      <c r="K10" s="10" t="str">
        <f t="shared" si="0"/>
        <v>Pass</v>
      </c>
      <c r="L10" s="9" t="s">
        <v>55</v>
      </c>
    </row>
    <row r="11" spans="1:12" x14ac:dyDescent="0.35">
      <c r="A11" s="10" t="s">
        <v>2231</v>
      </c>
      <c r="B11" s="10" t="s">
        <v>2218</v>
      </c>
      <c r="C11" s="9" t="s">
        <v>2219</v>
      </c>
      <c r="D11" s="9" t="s">
        <v>2232</v>
      </c>
      <c r="E11" s="10" t="s">
        <v>2233</v>
      </c>
      <c r="F11" s="9" t="s">
        <v>679</v>
      </c>
      <c r="G11" s="10">
        <f>SUMPRODUCT(COUNTIF('Test Cases'!$A$2:$A$1513,{"TC_NC_020"}))</f>
        <v>1</v>
      </c>
      <c r="H11" s="10">
        <f>SUMPRODUCT(COUNTIFS('Test Cases'!$A$2:$A$1513,{"TC_NC_020"},'Test Cases'!$J$2:$J$1513,"Pass"))</f>
        <v>1</v>
      </c>
      <c r="I11" s="10">
        <f>SUMPRODUCT(COUNTIFS('Test Cases'!$A$2:$A$1513,{"TC_NC_020"},'Test Cases'!$J$2:$J$1513,"Fail"))</f>
        <v>0</v>
      </c>
      <c r="J11" s="10">
        <f>SUMPRODUCT(COUNTIFS('Test Cases'!$A$2:$A$1513,{"TC_NC_020"},'Test Cases'!$J$2:$J$1513,"Blocked"))</f>
        <v>0</v>
      </c>
      <c r="K11" s="10" t="str">
        <f t="shared" si="0"/>
        <v>Pass</v>
      </c>
      <c r="L11" s="9" t="s">
        <v>55</v>
      </c>
    </row>
    <row r="12" spans="1:12" x14ac:dyDescent="0.35">
      <c r="A12" s="10" t="s">
        <v>2234</v>
      </c>
      <c r="B12" s="10" t="s">
        <v>2218</v>
      </c>
      <c r="C12" s="9" t="s">
        <v>2219</v>
      </c>
      <c r="D12" s="9" t="s">
        <v>2235</v>
      </c>
      <c r="E12" s="10" t="s">
        <v>2236</v>
      </c>
      <c r="F12" s="9" t="s">
        <v>701</v>
      </c>
      <c r="G12" s="10">
        <f>SUMPRODUCT(COUNTIF('Test Cases'!$A$2:$A$1513,{"TC_NC_024"}))</f>
        <v>1</v>
      </c>
      <c r="H12" s="10">
        <f>SUMPRODUCT(COUNTIFS('Test Cases'!$A$2:$A$1513,{"TC_NC_024"},'Test Cases'!$J$2:$J$1513,"Pass"))</f>
        <v>1</v>
      </c>
      <c r="I12" s="10">
        <f>SUMPRODUCT(COUNTIFS('Test Cases'!$A$2:$A$1513,{"TC_NC_024"},'Test Cases'!$J$2:$J$1513,"Fail"))</f>
        <v>0</v>
      </c>
      <c r="J12" s="10">
        <f>SUMPRODUCT(COUNTIFS('Test Cases'!$A$2:$A$1513,{"TC_NC_024"},'Test Cases'!$J$2:$J$1513,"Blocked"))</f>
        <v>0</v>
      </c>
      <c r="K12" s="10" t="str">
        <f t="shared" si="0"/>
        <v>Pass</v>
      </c>
      <c r="L12" s="9" t="s">
        <v>55</v>
      </c>
    </row>
    <row r="13" spans="1:12" x14ac:dyDescent="0.35">
      <c r="A13" s="10" t="s">
        <v>2237</v>
      </c>
      <c r="B13" s="10" t="s">
        <v>2218</v>
      </c>
      <c r="C13" s="9" t="s">
        <v>2219</v>
      </c>
      <c r="D13" s="9" t="s">
        <v>2238</v>
      </c>
      <c r="E13" s="10" t="s">
        <v>2224</v>
      </c>
      <c r="F13" s="9" t="s">
        <v>707</v>
      </c>
      <c r="G13" s="10">
        <f>SUMPRODUCT(COUNTIF('Test Cases'!$A$2:$A$1513,{"TC_NC_025"}))</f>
        <v>1</v>
      </c>
      <c r="H13" s="10">
        <f>SUMPRODUCT(COUNTIFS('Test Cases'!$A$2:$A$1513,{"TC_NC_025"},'Test Cases'!$J$2:$J$1513,"Pass"))</f>
        <v>1</v>
      </c>
      <c r="I13" s="10">
        <f>SUMPRODUCT(COUNTIFS('Test Cases'!$A$2:$A$1513,{"TC_NC_025"},'Test Cases'!$J$2:$J$1513,"Fail"))</f>
        <v>0</v>
      </c>
      <c r="J13" s="10">
        <f>SUMPRODUCT(COUNTIFS('Test Cases'!$A$2:$A$1513,{"TC_NC_025"},'Test Cases'!$J$2:$J$1513,"Blocked"))</f>
        <v>0</v>
      </c>
      <c r="K13" s="10" t="str">
        <f t="shared" si="0"/>
        <v>Pass</v>
      </c>
      <c r="L13" s="9" t="s">
        <v>55</v>
      </c>
    </row>
    <row r="14" spans="1:12" x14ac:dyDescent="0.35">
      <c r="A14" s="10" t="s">
        <v>2239</v>
      </c>
      <c r="B14" s="10" t="s">
        <v>2218</v>
      </c>
      <c r="C14" s="9" t="s">
        <v>2219</v>
      </c>
      <c r="D14" s="9" t="s">
        <v>2240</v>
      </c>
      <c r="E14" s="10" t="s">
        <v>2241</v>
      </c>
      <c r="F14" s="9" t="s">
        <v>716</v>
      </c>
      <c r="G14" s="10">
        <f>SUMPRODUCT(COUNTIF('Test Cases'!$A$2:$A$1513,{"TC_NC_027"}))</f>
        <v>1</v>
      </c>
      <c r="H14" s="10">
        <f>SUMPRODUCT(COUNTIFS('Test Cases'!$A$2:$A$1513,{"TC_NC_027"},'Test Cases'!$J$2:$J$1513,"Pass"))</f>
        <v>1</v>
      </c>
      <c r="I14" s="10">
        <f>SUMPRODUCT(COUNTIFS('Test Cases'!$A$2:$A$1513,{"TC_NC_027"},'Test Cases'!$J$2:$J$1513,"Fail"))</f>
        <v>0</v>
      </c>
      <c r="J14" s="10">
        <f>SUMPRODUCT(COUNTIFS('Test Cases'!$A$2:$A$1513,{"TC_NC_027"},'Test Cases'!$J$2:$J$1513,"Blocked"))</f>
        <v>0</v>
      </c>
      <c r="K14" s="10" t="str">
        <f t="shared" si="0"/>
        <v>Pass</v>
      </c>
      <c r="L14" s="9" t="s">
        <v>55</v>
      </c>
    </row>
    <row r="15" spans="1:12" x14ac:dyDescent="0.35">
      <c r="A15" s="10" t="s">
        <v>2242</v>
      </c>
      <c r="B15" s="10" t="s">
        <v>2218</v>
      </c>
      <c r="C15" s="9" t="s">
        <v>2219</v>
      </c>
      <c r="D15" s="9" t="s">
        <v>2243</v>
      </c>
      <c r="E15" s="10" t="s">
        <v>2224</v>
      </c>
      <c r="F15" s="9" t="s">
        <v>722</v>
      </c>
      <c r="G15" s="10">
        <f>SUMPRODUCT(COUNTIF('Test Cases'!$A$2:$A$1513,{"TC_NC_028"}))</f>
        <v>1</v>
      </c>
      <c r="H15" s="10">
        <f>SUMPRODUCT(COUNTIFS('Test Cases'!$A$2:$A$1513,{"TC_NC_028"},'Test Cases'!$J$2:$J$1513,"Pass"))</f>
        <v>1</v>
      </c>
      <c r="I15" s="10">
        <f>SUMPRODUCT(COUNTIFS('Test Cases'!$A$2:$A$1513,{"TC_NC_028"},'Test Cases'!$J$2:$J$1513,"Fail"))</f>
        <v>0</v>
      </c>
      <c r="J15" s="10">
        <f>SUMPRODUCT(COUNTIFS('Test Cases'!$A$2:$A$1513,{"TC_NC_028"},'Test Cases'!$J$2:$J$1513,"Blocked"))</f>
        <v>0</v>
      </c>
      <c r="K15" s="10" t="str">
        <f t="shared" si="0"/>
        <v>Pass</v>
      </c>
      <c r="L15" s="9" t="s">
        <v>55</v>
      </c>
    </row>
    <row r="16" spans="1:12" x14ac:dyDescent="0.35">
      <c r="A16" s="10" t="s">
        <v>2244</v>
      </c>
      <c r="B16" s="10" t="s">
        <v>2218</v>
      </c>
      <c r="C16" s="9" t="s">
        <v>2219</v>
      </c>
      <c r="D16" s="9" t="s">
        <v>2245</v>
      </c>
      <c r="E16" s="10" t="s">
        <v>2246</v>
      </c>
      <c r="F16" s="9" t="s">
        <v>729</v>
      </c>
      <c r="G16" s="10">
        <f>SUMPRODUCT(COUNTIF('Test Cases'!$A$2:$A$1513,{"TC_NC_030"}))</f>
        <v>1</v>
      </c>
      <c r="H16" s="10">
        <f>SUMPRODUCT(COUNTIFS('Test Cases'!$A$2:$A$1513,{"TC_NC_030"},'Test Cases'!$J$2:$J$1513,"Pass"))</f>
        <v>1</v>
      </c>
      <c r="I16" s="10">
        <f>SUMPRODUCT(COUNTIFS('Test Cases'!$A$2:$A$1513,{"TC_NC_030"},'Test Cases'!$J$2:$J$1513,"Fail"))</f>
        <v>0</v>
      </c>
      <c r="J16" s="10">
        <f>SUMPRODUCT(COUNTIFS('Test Cases'!$A$2:$A$1513,{"TC_NC_030"},'Test Cases'!$J$2:$J$1513,"Blocked"))</f>
        <v>0</v>
      </c>
      <c r="K16" s="10" t="str">
        <f t="shared" si="0"/>
        <v>Pass</v>
      </c>
      <c r="L16" s="9" t="s">
        <v>55</v>
      </c>
    </row>
    <row r="17" spans="1:12" x14ac:dyDescent="0.35">
      <c r="A17" s="10" t="s">
        <v>2247</v>
      </c>
      <c r="B17" s="10" t="s">
        <v>2218</v>
      </c>
      <c r="C17" s="9" t="s">
        <v>2219</v>
      </c>
      <c r="D17" s="9" t="s">
        <v>2248</v>
      </c>
      <c r="E17" s="10" t="s">
        <v>2249</v>
      </c>
      <c r="F17" s="9" t="s">
        <v>735</v>
      </c>
      <c r="G17" s="10">
        <f>SUMPRODUCT(COUNTIF('Test Cases'!$A$2:$A$1513,{"TC_NC_031"}))</f>
        <v>1</v>
      </c>
      <c r="H17" s="10">
        <f>SUMPRODUCT(COUNTIFS('Test Cases'!$A$2:$A$1513,{"TC_NC_031"},'Test Cases'!$J$2:$J$1513,"Pass"))</f>
        <v>1</v>
      </c>
      <c r="I17" s="10">
        <f>SUMPRODUCT(COUNTIFS('Test Cases'!$A$2:$A$1513,{"TC_NC_031"},'Test Cases'!$J$2:$J$1513,"Fail"))</f>
        <v>0</v>
      </c>
      <c r="J17" s="10">
        <f>SUMPRODUCT(COUNTIFS('Test Cases'!$A$2:$A$1513,{"TC_NC_031"},'Test Cases'!$J$2:$J$1513,"Blocked"))</f>
        <v>0</v>
      </c>
      <c r="K17" s="10" t="str">
        <f t="shared" si="0"/>
        <v>Pass</v>
      </c>
      <c r="L17" s="9" t="s">
        <v>55</v>
      </c>
    </row>
    <row r="18" spans="1:12" x14ac:dyDescent="0.35">
      <c r="A18" s="10" t="s">
        <v>2250</v>
      </c>
      <c r="B18" s="10" t="s">
        <v>2218</v>
      </c>
      <c r="C18" s="9" t="s">
        <v>2219</v>
      </c>
      <c r="D18" s="9" t="s">
        <v>2251</v>
      </c>
      <c r="E18" s="10" t="s">
        <v>2252</v>
      </c>
      <c r="F18" s="9" t="s">
        <v>740</v>
      </c>
      <c r="G18" s="10">
        <f>SUMPRODUCT(COUNTIF('Test Cases'!$A$2:$A$1513,{"TC_NC_032"}))</f>
        <v>1</v>
      </c>
      <c r="H18" s="10">
        <f>SUMPRODUCT(COUNTIFS('Test Cases'!$A$2:$A$1513,{"TC_NC_032"},'Test Cases'!$J$2:$J$1513,"Pass"))</f>
        <v>1</v>
      </c>
      <c r="I18" s="10">
        <f>SUMPRODUCT(COUNTIFS('Test Cases'!$A$2:$A$1513,{"TC_NC_032"},'Test Cases'!$J$2:$J$1513,"Fail"))</f>
        <v>0</v>
      </c>
      <c r="J18" s="10">
        <f>SUMPRODUCT(COUNTIFS('Test Cases'!$A$2:$A$1513,{"TC_NC_032"},'Test Cases'!$J$2:$J$1513,"Blocked"))</f>
        <v>0</v>
      </c>
      <c r="K18" s="10" t="str">
        <f t="shared" si="0"/>
        <v>Pass</v>
      </c>
      <c r="L18" s="9" t="s">
        <v>55</v>
      </c>
    </row>
    <row r="19" spans="1:12" x14ac:dyDescent="0.35">
      <c r="A19" s="10" t="s">
        <v>2253</v>
      </c>
      <c r="B19" s="10" t="s">
        <v>2218</v>
      </c>
      <c r="C19" s="9" t="s">
        <v>2219</v>
      </c>
      <c r="D19" s="9" t="s">
        <v>2254</v>
      </c>
      <c r="E19" s="10" t="s">
        <v>2255</v>
      </c>
      <c r="F19" s="9" t="s">
        <v>751</v>
      </c>
      <c r="G19" s="10">
        <f>SUMPRODUCT(COUNTIF('Test Cases'!$A$2:$A$1513,{"TC_NC_034"}))</f>
        <v>1</v>
      </c>
      <c r="H19" s="10">
        <f>SUMPRODUCT(COUNTIFS('Test Cases'!$A$2:$A$1513,{"TC_NC_034"},'Test Cases'!$J$2:$J$1513,"Pass"))</f>
        <v>1</v>
      </c>
      <c r="I19" s="10">
        <f>SUMPRODUCT(COUNTIFS('Test Cases'!$A$2:$A$1513,{"TC_NC_034"},'Test Cases'!$J$2:$J$1513,"Fail"))</f>
        <v>0</v>
      </c>
      <c r="J19" s="10">
        <f>SUMPRODUCT(COUNTIFS('Test Cases'!$A$2:$A$1513,{"TC_NC_034"},'Test Cases'!$J$2:$J$1513,"Blocked"))</f>
        <v>0</v>
      </c>
      <c r="K19" s="10" t="str">
        <f t="shared" si="0"/>
        <v>Pass</v>
      </c>
      <c r="L19" s="9" t="s">
        <v>55</v>
      </c>
    </row>
    <row r="20" spans="1:12" x14ac:dyDescent="0.35">
      <c r="A20" s="10" t="s">
        <v>2256</v>
      </c>
      <c r="B20" s="10" t="s">
        <v>2218</v>
      </c>
      <c r="C20" s="9" t="s">
        <v>2219</v>
      </c>
      <c r="D20" s="9" t="s">
        <v>2257</v>
      </c>
      <c r="E20" s="10" t="s">
        <v>2258</v>
      </c>
      <c r="F20" s="9" t="s">
        <v>757</v>
      </c>
      <c r="G20" s="10">
        <f>SUMPRODUCT(COUNTIF('Test Cases'!$A$2:$A$1513,{"TC_NC_035"}))</f>
        <v>1</v>
      </c>
      <c r="H20" s="10">
        <f>SUMPRODUCT(COUNTIFS('Test Cases'!$A$2:$A$1513,{"TC_NC_035"},'Test Cases'!$J$2:$J$1513,"Pass"))</f>
        <v>1</v>
      </c>
      <c r="I20" s="10">
        <f>SUMPRODUCT(COUNTIFS('Test Cases'!$A$2:$A$1513,{"TC_NC_035"},'Test Cases'!$J$2:$J$1513,"Fail"))</f>
        <v>0</v>
      </c>
      <c r="J20" s="10">
        <f>SUMPRODUCT(COUNTIFS('Test Cases'!$A$2:$A$1513,{"TC_NC_035"},'Test Cases'!$J$2:$J$1513,"Blocked"))</f>
        <v>0</v>
      </c>
      <c r="K20" s="10" t="str">
        <f t="shared" si="0"/>
        <v>Pass</v>
      </c>
      <c r="L20" s="9" t="s">
        <v>55</v>
      </c>
    </row>
    <row r="21" spans="1:12" x14ac:dyDescent="0.35">
      <c r="A21" s="10" t="s">
        <v>2259</v>
      </c>
      <c r="B21" s="10" t="s">
        <v>2218</v>
      </c>
      <c r="C21" s="9" t="s">
        <v>2219</v>
      </c>
      <c r="D21" s="9" t="s">
        <v>2260</v>
      </c>
      <c r="E21" s="10" t="s">
        <v>2261</v>
      </c>
      <c r="F21" s="9" t="s">
        <v>773</v>
      </c>
      <c r="G21" s="10">
        <f>SUMPRODUCT(COUNTIF('Test Cases'!$A$2:$A$1513,{"TC_NC_038"}))</f>
        <v>1</v>
      </c>
      <c r="H21" s="10">
        <f>SUMPRODUCT(COUNTIFS('Test Cases'!$A$2:$A$1513,{"TC_NC_038"},'Test Cases'!$J$2:$J$1513,"Pass"))</f>
        <v>1</v>
      </c>
      <c r="I21" s="10">
        <f>SUMPRODUCT(COUNTIFS('Test Cases'!$A$2:$A$1513,{"TC_NC_038"},'Test Cases'!$J$2:$J$1513,"Fail"))</f>
        <v>0</v>
      </c>
      <c r="J21" s="10">
        <f>SUMPRODUCT(COUNTIFS('Test Cases'!$A$2:$A$1513,{"TC_NC_038"},'Test Cases'!$J$2:$J$1513,"Blocked"))</f>
        <v>0</v>
      </c>
      <c r="K21" s="10" t="str">
        <f t="shared" si="0"/>
        <v>Pass</v>
      </c>
      <c r="L21" s="9" t="s">
        <v>55</v>
      </c>
    </row>
    <row r="22" spans="1:12" x14ac:dyDescent="0.35">
      <c r="A22" s="10" t="s">
        <v>2262</v>
      </c>
      <c r="B22" s="10" t="s">
        <v>2218</v>
      </c>
      <c r="C22" s="9" t="s">
        <v>2219</v>
      </c>
      <c r="D22" s="9" t="s">
        <v>2263</v>
      </c>
      <c r="E22" s="10" t="s">
        <v>2264</v>
      </c>
      <c r="F22" s="9" t="s">
        <v>779</v>
      </c>
      <c r="G22" s="10">
        <f>SUMPRODUCT(COUNTIF('Test Cases'!$A$2:$A$1513,{"TC_NC_039"}))</f>
        <v>1</v>
      </c>
      <c r="H22" s="10">
        <f>SUMPRODUCT(COUNTIFS('Test Cases'!$A$2:$A$1513,{"TC_NC_039"},'Test Cases'!$J$2:$J$1513,"Pass"))</f>
        <v>1</v>
      </c>
      <c r="I22" s="10">
        <f>SUMPRODUCT(COUNTIFS('Test Cases'!$A$2:$A$1513,{"TC_NC_039"},'Test Cases'!$J$2:$J$1513,"Fail"))</f>
        <v>0</v>
      </c>
      <c r="J22" s="10">
        <f>SUMPRODUCT(COUNTIFS('Test Cases'!$A$2:$A$1513,{"TC_NC_039"},'Test Cases'!$J$2:$J$1513,"Blocked"))</f>
        <v>0</v>
      </c>
      <c r="K22" s="10" t="str">
        <f t="shared" si="0"/>
        <v>Pass</v>
      </c>
      <c r="L22" s="9" t="s">
        <v>55</v>
      </c>
    </row>
    <row r="23" spans="1:12" x14ac:dyDescent="0.35">
      <c r="A23" s="10" t="s">
        <v>2265</v>
      </c>
      <c r="B23" s="10" t="s">
        <v>2218</v>
      </c>
      <c r="C23" s="9" t="s">
        <v>2219</v>
      </c>
      <c r="D23" s="9" t="s">
        <v>2266</v>
      </c>
      <c r="E23" s="10" t="s">
        <v>2267</v>
      </c>
      <c r="F23" s="9" t="s">
        <v>784</v>
      </c>
      <c r="G23" s="10">
        <f>SUMPRODUCT(COUNTIF('Test Cases'!$A$2:$A$1513,{"TC_NC_040"}))</f>
        <v>1</v>
      </c>
      <c r="H23" s="10">
        <f>SUMPRODUCT(COUNTIFS('Test Cases'!$A$2:$A$1513,{"TC_NC_040"},'Test Cases'!$J$2:$J$1513,"Pass"))</f>
        <v>1</v>
      </c>
      <c r="I23" s="10">
        <f>SUMPRODUCT(COUNTIFS('Test Cases'!$A$2:$A$1513,{"TC_NC_040"},'Test Cases'!$J$2:$J$1513,"Fail"))</f>
        <v>0</v>
      </c>
      <c r="J23" s="10">
        <f>SUMPRODUCT(COUNTIFS('Test Cases'!$A$2:$A$1513,{"TC_NC_040"},'Test Cases'!$J$2:$J$1513,"Blocked"))</f>
        <v>0</v>
      </c>
      <c r="K23" s="10" t="str">
        <f t="shared" si="0"/>
        <v>Pass</v>
      </c>
      <c r="L23" s="9" t="s">
        <v>55</v>
      </c>
    </row>
    <row r="24" spans="1:12" x14ac:dyDescent="0.35">
      <c r="A24" s="10" t="s">
        <v>2268</v>
      </c>
      <c r="B24" s="10" t="s">
        <v>2218</v>
      </c>
      <c r="C24" s="9" t="s">
        <v>2219</v>
      </c>
      <c r="D24" s="9" t="s">
        <v>2269</v>
      </c>
      <c r="E24" s="10" t="s">
        <v>2270</v>
      </c>
      <c r="F24" s="9" t="s">
        <v>642</v>
      </c>
      <c r="G24" s="10">
        <f>SUMPRODUCT(COUNTIF('Test Cases'!$A$2:$A$1513,{"TC_NC_014"}))</f>
        <v>1</v>
      </c>
      <c r="H24" s="10">
        <f>SUMPRODUCT(COUNTIFS('Test Cases'!$A$2:$A$1513,{"TC_NC_014"},'Test Cases'!$J$2:$J$1513,"Pass"))</f>
        <v>1</v>
      </c>
      <c r="I24" s="10">
        <f>SUMPRODUCT(COUNTIFS('Test Cases'!$A$2:$A$1513,{"TC_NC_014"},'Test Cases'!$J$2:$J$1513,"Fail"))</f>
        <v>0</v>
      </c>
      <c r="J24" s="10">
        <f>SUMPRODUCT(COUNTIFS('Test Cases'!$A$2:$A$1513,{"TC_NC_014"},'Test Cases'!$J$2:$J$1513,"Blocked"))</f>
        <v>0</v>
      </c>
      <c r="K24" s="10" t="str">
        <f t="shared" si="0"/>
        <v>Pass</v>
      </c>
      <c r="L24" s="9" t="s">
        <v>55</v>
      </c>
    </row>
    <row r="25" spans="1:12" x14ac:dyDescent="0.35">
      <c r="A25" s="10" t="s">
        <v>2271</v>
      </c>
      <c r="B25" s="10" t="s">
        <v>2218</v>
      </c>
      <c r="C25" s="9" t="s">
        <v>2219</v>
      </c>
      <c r="D25" s="9" t="s">
        <v>2272</v>
      </c>
      <c r="E25" s="10" t="s">
        <v>2273</v>
      </c>
      <c r="F25" s="9" t="s">
        <v>659</v>
      </c>
      <c r="G25" s="10">
        <f>SUMPRODUCT(COUNTIF('Test Cases'!$A$2:$A$1513,{"TC_NC_017"}))</f>
        <v>1</v>
      </c>
      <c r="H25" s="10">
        <f>SUMPRODUCT(COUNTIFS('Test Cases'!$A$2:$A$1513,{"TC_NC_017"},'Test Cases'!$J$2:$J$1513,"Pass"))</f>
        <v>0</v>
      </c>
      <c r="I25" s="10">
        <f>SUMPRODUCT(COUNTIFS('Test Cases'!$A$2:$A$1513,{"TC_NC_017"},'Test Cases'!$J$2:$J$1513,"Fail"))</f>
        <v>1</v>
      </c>
      <c r="J25" s="10">
        <f>SUMPRODUCT(COUNTIFS('Test Cases'!$A$2:$A$1513,{"TC_NC_017"},'Test Cases'!$J$2:$J$1513,"Blocked"))</f>
        <v>0</v>
      </c>
      <c r="K25" s="10" t="str">
        <f t="shared" si="0"/>
        <v>Fail</v>
      </c>
      <c r="L25" s="9" t="s">
        <v>2274</v>
      </c>
    </row>
    <row r="26" spans="1:12" x14ac:dyDescent="0.35">
      <c r="A26" s="10" t="s">
        <v>109</v>
      </c>
      <c r="B26" s="10" t="s">
        <v>2218</v>
      </c>
      <c r="C26" s="9" t="s">
        <v>2219</v>
      </c>
      <c r="D26" s="9" t="s">
        <v>2275</v>
      </c>
      <c r="E26" s="10" t="s">
        <v>2273</v>
      </c>
      <c r="F26" s="9" t="s">
        <v>629</v>
      </c>
      <c r="G26" s="10">
        <f>SUMPRODUCT(COUNTIF('Test Cases'!$A$2:$A$1513,{"TC_NC_012"}))</f>
        <v>1</v>
      </c>
      <c r="H26" s="10">
        <f>SUMPRODUCT(COUNTIFS('Test Cases'!$A$2:$A$1513,{"TC_NC_012"},'Test Cases'!$J$2:$J$1513,"Pass"))</f>
        <v>0</v>
      </c>
      <c r="I26" s="10">
        <f>SUMPRODUCT(COUNTIFS('Test Cases'!$A$2:$A$1513,{"TC_NC_012"},'Test Cases'!$J$2:$J$1513,"Fail"))</f>
        <v>1</v>
      </c>
      <c r="J26" s="10">
        <f>SUMPRODUCT(COUNTIFS('Test Cases'!$A$2:$A$1513,{"TC_NC_012"},'Test Cases'!$J$2:$J$1513,"Blocked"))</f>
        <v>0</v>
      </c>
      <c r="K26" s="10" t="str">
        <f t="shared" si="0"/>
        <v>Fail</v>
      </c>
      <c r="L26" s="9" t="s">
        <v>2276</v>
      </c>
    </row>
    <row r="27" spans="1:12" x14ac:dyDescent="0.35">
      <c r="A27" s="10" t="s">
        <v>2277</v>
      </c>
      <c r="B27" s="10" t="s">
        <v>2278</v>
      </c>
      <c r="C27" s="9" t="s">
        <v>2279</v>
      </c>
      <c r="D27" s="9" t="s">
        <v>2280</v>
      </c>
      <c r="E27" s="10" t="s">
        <v>2281</v>
      </c>
      <c r="F27" s="9" t="s">
        <v>874</v>
      </c>
      <c r="G27" s="10">
        <f>SUMPRODUCT(COUNTIF('Test Cases'!$A$2:$A$1513,{"TC_EC_004"}))</f>
        <v>1</v>
      </c>
      <c r="H27" s="10">
        <f>SUMPRODUCT(COUNTIFS('Test Cases'!$A$2:$A$1513,{"TC_EC_004"},'Test Cases'!$J$2:$J$1513,"Pass"))</f>
        <v>1</v>
      </c>
      <c r="I27" s="10">
        <f>SUMPRODUCT(COUNTIFS('Test Cases'!$A$2:$A$1513,{"TC_EC_004"},'Test Cases'!$J$2:$J$1513,"Fail"))</f>
        <v>0</v>
      </c>
      <c r="J27" s="10">
        <f>SUMPRODUCT(COUNTIFS('Test Cases'!$A$2:$A$1513,{"TC_EC_004"},'Test Cases'!$J$2:$J$1513,"Blocked"))</f>
        <v>0</v>
      </c>
      <c r="K27" s="10" t="str">
        <f t="shared" si="0"/>
        <v>Pass</v>
      </c>
      <c r="L27" s="9" t="s">
        <v>55</v>
      </c>
    </row>
    <row r="28" spans="1:12" x14ac:dyDescent="0.35">
      <c r="A28" s="10" t="s">
        <v>2282</v>
      </c>
      <c r="B28" s="10" t="s">
        <v>2278</v>
      </c>
      <c r="C28" s="9" t="s">
        <v>2279</v>
      </c>
      <c r="D28" s="9" t="s">
        <v>2283</v>
      </c>
      <c r="E28" s="10" t="s">
        <v>2284</v>
      </c>
      <c r="F28" s="9" t="s">
        <v>881</v>
      </c>
      <c r="G28" s="10">
        <f>SUMPRODUCT(COUNTIF('Test Cases'!$A$2:$A$1513,{"TC_EC_005"}))</f>
        <v>1</v>
      </c>
      <c r="H28" s="10">
        <f>SUMPRODUCT(COUNTIFS('Test Cases'!$A$2:$A$1513,{"TC_EC_005"},'Test Cases'!$J$2:$J$1513,"Pass"))</f>
        <v>1</v>
      </c>
      <c r="I28" s="10">
        <f>SUMPRODUCT(COUNTIFS('Test Cases'!$A$2:$A$1513,{"TC_EC_005"},'Test Cases'!$J$2:$J$1513,"Fail"))</f>
        <v>0</v>
      </c>
      <c r="J28" s="10">
        <f>SUMPRODUCT(COUNTIFS('Test Cases'!$A$2:$A$1513,{"TC_EC_005"},'Test Cases'!$J$2:$J$1513,"Blocked"))</f>
        <v>0</v>
      </c>
      <c r="K28" s="10" t="str">
        <f t="shared" si="0"/>
        <v>Pass</v>
      </c>
      <c r="L28" s="9" t="s">
        <v>55</v>
      </c>
    </row>
    <row r="29" spans="1:12" x14ac:dyDescent="0.35">
      <c r="A29" s="10" t="s">
        <v>2285</v>
      </c>
      <c r="B29" s="10" t="s">
        <v>2278</v>
      </c>
      <c r="C29" s="9" t="s">
        <v>2279</v>
      </c>
      <c r="D29" s="9" t="s">
        <v>2286</v>
      </c>
      <c r="E29" s="10" t="s">
        <v>2273</v>
      </c>
      <c r="F29" s="9" t="s">
        <v>892</v>
      </c>
      <c r="G29" s="10">
        <f>SUMPRODUCT(COUNTIF('Test Cases'!$A$2:$A$1513,{"TC_EC_007"}))</f>
        <v>1</v>
      </c>
      <c r="H29" s="10">
        <f>SUMPRODUCT(COUNTIFS('Test Cases'!$A$2:$A$1513,{"TC_EC_007"},'Test Cases'!$J$2:$J$1513,"Pass"))</f>
        <v>1</v>
      </c>
      <c r="I29" s="10">
        <f>SUMPRODUCT(COUNTIFS('Test Cases'!$A$2:$A$1513,{"TC_EC_007"},'Test Cases'!$J$2:$J$1513,"Fail"))</f>
        <v>0</v>
      </c>
      <c r="J29" s="10">
        <f>SUMPRODUCT(COUNTIFS('Test Cases'!$A$2:$A$1513,{"TC_EC_007"},'Test Cases'!$J$2:$J$1513,"Blocked"))</f>
        <v>0</v>
      </c>
      <c r="K29" s="10" t="str">
        <f t="shared" si="0"/>
        <v>Pass</v>
      </c>
      <c r="L29" s="9" t="s">
        <v>55</v>
      </c>
    </row>
    <row r="30" spans="1:12" x14ac:dyDescent="0.35">
      <c r="A30" s="10" t="s">
        <v>151</v>
      </c>
      <c r="B30" s="10" t="s">
        <v>2278</v>
      </c>
      <c r="C30" s="9" t="s">
        <v>2279</v>
      </c>
      <c r="D30" s="9" t="s">
        <v>2287</v>
      </c>
      <c r="E30" s="10" t="s">
        <v>2288</v>
      </c>
      <c r="F30" s="9" t="s">
        <v>152</v>
      </c>
      <c r="G30" s="10">
        <f>SUMPRODUCT(COUNTIF('Test Cases'!$A$2:$A$1513,{"TC_EC_008"}))</f>
        <v>1</v>
      </c>
      <c r="H30" s="10">
        <f>SUMPRODUCT(COUNTIFS('Test Cases'!$A$2:$A$1513,{"TC_EC_008"},'Test Cases'!$J$2:$J$1513,"Pass"))</f>
        <v>1</v>
      </c>
      <c r="I30" s="10">
        <f>SUMPRODUCT(COUNTIFS('Test Cases'!$A$2:$A$1513,{"TC_EC_008"},'Test Cases'!$J$2:$J$1513,"Fail"))</f>
        <v>0</v>
      </c>
      <c r="J30" s="10">
        <f>SUMPRODUCT(COUNTIFS('Test Cases'!$A$2:$A$1513,{"TC_EC_008"},'Test Cases'!$J$2:$J$1513,"Blocked"))</f>
        <v>0</v>
      </c>
      <c r="K30" s="10" t="str">
        <f t="shared" si="0"/>
        <v>Pass</v>
      </c>
      <c r="L30" s="9" t="s">
        <v>55</v>
      </c>
    </row>
    <row r="31" spans="1:12" x14ac:dyDescent="0.35">
      <c r="A31" s="10" t="s">
        <v>2289</v>
      </c>
      <c r="B31" s="10" t="s">
        <v>2278</v>
      </c>
      <c r="C31" s="9" t="s">
        <v>2279</v>
      </c>
      <c r="D31" s="9" t="s">
        <v>2290</v>
      </c>
      <c r="E31" s="10" t="s">
        <v>2267</v>
      </c>
      <c r="F31" s="9" t="s">
        <v>2291</v>
      </c>
      <c r="G31" s="10">
        <f>SUMPRODUCT(COUNTIF('Test Cases'!$A$2:$A$1513,{"TC_EC_033","TC_EC_034","TC_EC_035","TC_EC_036"}))</f>
        <v>4</v>
      </c>
      <c r="H31" s="10">
        <f>SUMPRODUCT(COUNTIFS('Test Cases'!$A$2:$A$1513,{"TC_EC_033","TC_EC_034","TC_EC_035","TC_EC_036"},'Test Cases'!$J$2:$J$1513,"Pass"))</f>
        <v>0</v>
      </c>
      <c r="I31" s="10">
        <f>SUMPRODUCT(COUNTIFS('Test Cases'!$A$2:$A$1513,{"TC_EC_033","TC_EC_034","TC_EC_035","TC_EC_036"},'Test Cases'!$J$2:$J$1513,"Fail"))</f>
        <v>4</v>
      </c>
      <c r="J31" s="10">
        <f>SUMPRODUCT(COUNTIFS('Test Cases'!$A$2:$A$1513,{"TC_EC_033","TC_EC_034","TC_EC_035","TC_EC_036"},'Test Cases'!$J$2:$J$1513,"Blocked"))</f>
        <v>0</v>
      </c>
      <c r="K31" s="10" t="str">
        <f t="shared" si="0"/>
        <v>Fail</v>
      </c>
      <c r="L31" s="9" t="s">
        <v>2292</v>
      </c>
    </row>
    <row r="32" spans="1:12" ht="43.5" x14ac:dyDescent="0.35">
      <c r="A32" s="10" t="s">
        <v>157</v>
      </c>
      <c r="B32" s="10" t="s">
        <v>2278</v>
      </c>
      <c r="C32" s="9" t="s">
        <v>2279</v>
      </c>
      <c r="D32" s="9" t="s">
        <v>2293</v>
      </c>
      <c r="E32" s="10" t="s">
        <v>2294</v>
      </c>
      <c r="F32" s="9" t="s">
        <v>2295</v>
      </c>
      <c r="G32" s="10">
        <f>SUMPRODUCT(COUNTIF('Test Cases'!$A$2:$A$1513,{"TC_EC_014","TC_EC_015","TC_EC_017","TC_EC_018","TC_EC_019","TC_EC_020","TC_EC_021","TC_EC_023","TC_EC_024","TC_EC_025","TC_EC_027","TC_EC_028","TC_EC_031","TC_EC_032"}))</f>
        <v>14</v>
      </c>
      <c r="H32" s="10">
        <f>SUMPRODUCT(COUNTIFS('Test Cases'!$A$2:$A$1513,{"TC_EC_014","TC_EC_015","TC_EC_017","TC_EC_018","TC_EC_019","TC_EC_020","TC_EC_021","TC_EC_023","TC_EC_024","TC_EC_025","TC_EC_027","TC_EC_028","TC_EC_031","TC_EC_032"},'Test Cases'!$J$2:$J$1513,"Pass"))</f>
        <v>0</v>
      </c>
      <c r="I32" s="10">
        <f>SUMPRODUCT(COUNTIFS('Test Cases'!$A$2:$A$1513,{"TC_EC_014","TC_EC_015","TC_EC_017","TC_EC_018","TC_EC_019","TC_EC_020","TC_EC_021","TC_EC_023","TC_EC_024","TC_EC_025","TC_EC_027","TC_EC_028","TC_EC_031","TC_EC_032"},'Test Cases'!$J$2:$J$1513,"Fail"))</f>
        <v>14</v>
      </c>
      <c r="J32" s="10">
        <f>SUMPRODUCT(COUNTIFS('Test Cases'!$A$2:$A$1513,{"TC_EC_014","TC_EC_015","TC_EC_017","TC_EC_018","TC_EC_019","TC_EC_020","TC_EC_021","TC_EC_023","TC_EC_024","TC_EC_025","TC_EC_027","TC_EC_028","TC_EC_031","TC_EC_032"},'Test Cases'!$J$2:$J$1513,"Blocked"))</f>
        <v>0</v>
      </c>
      <c r="K32" s="10" t="str">
        <f t="shared" si="0"/>
        <v>Fail</v>
      </c>
      <c r="L32" s="9" t="s">
        <v>2296</v>
      </c>
    </row>
    <row r="33" spans="1:12" x14ac:dyDescent="0.35">
      <c r="A33" s="10" t="s">
        <v>2297</v>
      </c>
      <c r="B33" s="10" t="s">
        <v>2298</v>
      </c>
      <c r="C33" s="9" t="s">
        <v>2299</v>
      </c>
      <c r="D33" s="9" t="s">
        <v>2280</v>
      </c>
      <c r="E33" s="10" t="s">
        <v>2281</v>
      </c>
      <c r="F33" s="9" t="s">
        <v>1097</v>
      </c>
      <c r="G33" s="10">
        <f>SUMPRODUCT(COUNTIF('Test Cases'!$A$2:$A$1513,{"TC_DC_006"}))</f>
        <v>1</v>
      </c>
      <c r="H33" s="10">
        <f>SUMPRODUCT(COUNTIFS('Test Cases'!$A$2:$A$1513,{"TC_DC_006"},'Test Cases'!$J$2:$J$1513,"Pass"))</f>
        <v>1</v>
      </c>
      <c r="I33" s="10">
        <f>SUMPRODUCT(COUNTIFS('Test Cases'!$A$2:$A$1513,{"TC_DC_006"},'Test Cases'!$J$2:$J$1513,"Fail"))</f>
        <v>0</v>
      </c>
      <c r="J33" s="10">
        <f>SUMPRODUCT(COUNTIFS('Test Cases'!$A$2:$A$1513,{"TC_DC_006"},'Test Cases'!$J$2:$J$1513,"Blocked"))</f>
        <v>0</v>
      </c>
      <c r="K33" s="10" t="str">
        <f t="shared" si="0"/>
        <v>Pass</v>
      </c>
      <c r="L33" s="9" t="s">
        <v>55</v>
      </c>
    </row>
    <row r="34" spans="1:12" x14ac:dyDescent="0.35">
      <c r="A34" s="10" t="s">
        <v>2300</v>
      </c>
      <c r="B34" s="10" t="s">
        <v>2298</v>
      </c>
      <c r="C34" s="9" t="s">
        <v>2299</v>
      </c>
      <c r="D34" s="9" t="s">
        <v>2283</v>
      </c>
      <c r="E34" s="10" t="s">
        <v>2284</v>
      </c>
      <c r="F34" s="9" t="s">
        <v>1100</v>
      </c>
      <c r="G34" s="10">
        <f>SUMPRODUCT(COUNTIF('Test Cases'!$A$2:$A$1513,{"TC_DC_007"}))</f>
        <v>1</v>
      </c>
      <c r="H34" s="10">
        <f>SUMPRODUCT(COUNTIFS('Test Cases'!$A$2:$A$1513,{"TC_DC_007"},'Test Cases'!$J$2:$J$1513,"Pass"))</f>
        <v>1</v>
      </c>
      <c r="I34" s="10">
        <f>SUMPRODUCT(COUNTIFS('Test Cases'!$A$2:$A$1513,{"TC_DC_007"},'Test Cases'!$J$2:$J$1513,"Fail"))</f>
        <v>0</v>
      </c>
      <c r="J34" s="10">
        <f>SUMPRODUCT(COUNTIFS('Test Cases'!$A$2:$A$1513,{"TC_DC_007"},'Test Cases'!$J$2:$J$1513,"Blocked"))</f>
        <v>0</v>
      </c>
      <c r="K34" s="10" t="str">
        <f t="shared" ref="K34:K65" si="1">IF(G34=0,"Not covered",IF(I34&gt;0,"Fail",IF(J34&gt;0,"Blocked",IF(H34=G34,"Pass","Partially executed"))))</f>
        <v>Pass</v>
      </c>
      <c r="L34" s="9" t="s">
        <v>55</v>
      </c>
    </row>
    <row r="35" spans="1:12" x14ac:dyDescent="0.35">
      <c r="A35" s="10" t="s">
        <v>2301</v>
      </c>
      <c r="B35" s="10" t="s">
        <v>2298</v>
      </c>
      <c r="C35" s="9" t="s">
        <v>2299</v>
      </c>
      <c r="D35" s="9" t="s">
        <v>2286</v>
      </c>
      <c r="E35" s="10" t="s">
        <v>2273</v>
      </c>
      <c r="F35" s="9" t="s">
        <v>2302</v>
      </c>
      <c r="G35" s="10">
        <f>SUMPRODUCT(COUNTIF('Test Cases'!$A$2:$A$1513,{"TC_DC_005","TC_DC_009"}))</f>
        <v>2</v>
      </c>
      <c r="H35" s="10">
        <f>SUMPRODUCT(COUNTIFS('Test Cases'!$A$2:$A$1513,{"TC_DC_005","TC_DC_009"},'Test Cases'!$J$2:$J$1513,"Pass"))</f>
        <v>2</v>
      </c>
      <c r="I35" s="10">
        <f>SUMPRODUCT(COUNTIFS('Test Cases'!$A$2:$A$1513,{"TC_DC_005","TC_DC_009"},'Test Cases'!$J$2:$J$1513,"Fail"))</f>
        <v>0</v>
      </c>
      <c r="J35" s="10">
        <f>SUMPRODUCT(COUNTIFS('Test Cases'!$A$2:$A$1513,{"TC_DC_005","TC_DC_009"},'Test Cases'!$J$2:$J$1513,"Blocked"))</f>
        <v>0</v>
      </c>
      <c r="K35" s="10" t="str">
        <f t="shared" si="1"/>
        <v>Pass</v>
      </c>
      <c r="L35" s="9" t="s">
        <v>55</v>
      </c>
    </row>
    <row r="36" spans="1:12" x14ac:dyDescent="0.35">
      <c r="A36" s="10" t="s">
        <v>185</v>
      </c>
      <c r="B36" s="10" t="s">
        <v>2298</v>
      </c>
      <c r="C36" s="9" t="s">
        <v>2299</v>
      </c>
      <c r="D36" s="9" t="s">
        <v>2303</v>
      </c>
      <c r="E36" s="10" t="s">
        <v>2273</v>
      </c>
      <c r="F36" s="9" t="s">
        <v>186</v>
      </c>
      <c r="G36" s="10">
        <f>SUMPRODUCT(COUNTIF('Test Cases'!$A$2:$A$1513,{"TC_DC_010"}))</f>
        <v>1</v>
      </c>
      <c r="H36" s="10">
        <f>SUMPRODUCT(COUNTIFS('Test Cases'!$A$2:$A$1513,{"TC_DC_010"},'Test Cases'!$J$2:$J$1513,"Pass"))</f>
        <v>1</v>
      </c>
      <c r="I36" s="10">
        <f>SUMPRODUCT(COUNTIFS('Test Cases'!$A$2:$A$1513,{"TC_DC_010"},'Test Cases'!$J$2:$J$1513,"Fail"))</f>
        <v>0</v>
      </c>
      <c r="J36" s="10">
        <f>SUMPRODUCT(COUNTIFS('Test Cases'!$A$2:$A$1513,{"TC_DC_010"},'Test Cases'!$J$2:$J$1513,"Blocked"))</f>
        <v>0</v>
      </c>
      <c r="K36" s="10" t="str">
        <f t="shared" si="1"/>
        <v>Pass</v>
      </c>
      <c r="L36" s="9" t="s">
        <v>55</v>
      </c>
    </row>
    <row r="37" spans="1:12" x14ac:dyDescent="0.35">
      <c r="A37" s="10" t="s">
        <v>188</v>
      </c>
      <c r="B37" s="10" t="s">
        <v>2298</v>
      </c>
      <c r="C37" s="9" t="s">
        <v>2299</v>
      </c>
      <c r="D37" s="9" t="s">
        <v>2287</v>
      </c>
      <c r="E37" s="10" t="s">
        <v>2288</v>
      </c>
      <c r="F37" s="9" t="s">
        <v>189</v>
      </c>
      <c r="G37" s="10">
        <f>SUMPRODUCT(COUNTIF('Test Cases'!$A$2:$A$1513,{"TC_DC_011"}))</f>
        <v>1</v>
      </c>
      <c r="H37" s="10">
        <f>SUMPRODUCT(COUNTIFS('Test Cases'!$A$2:$A$1513,{"TC_DC_011"},'Test Cases'!$J$2:$J$1513,"Pass"))</f>
        <v>1</v>
      </c>
      <c r="I37" s="10">
        <f>SUMPRODUCT(COUNTIFS('Test Cases'!$A$2:$A$1513,{"TC_DC_011"},'Test Cases'!$J$2:$J$1513,"Fail"))</f>
        <v>0</v>
      </c>
      <c r="J37" s="10">
        <f>SUMPRODUCT(COUNTIFS('Test Cases'!$A$2:$A$1513,{"TC_DC_011"},'Test Cases'!$J$2:$J$1513,"Blocked"))</f>
        <v>0</v>
      </c>
      <c r="K37" s="10" t="str">
        <f t="shared" si="1"/>
        <v>Pass</v>
      </c>
      <c r="L37" s="9" t="s">
        <v>55</v>
      </c>
    </row>
    <row r="38" spans="1:12" x14ac:dyDescent="0.35">
      <c r="A38" s="10" t="s">
        <v>2304</v>
      </c>
      <c r="B38" s="10" t="s">
        <v>2305</v>
      </c>
      <c r="C38" s="9" t="s">
        <v>2306</v>
      </c>
      <c r="D38" s="9" t="s">
        <v>2307</v>
      </c>
      <c r="E38" s="10" t="s">
        <v>2281</v>
      </c>
      <c r="F38" s="9" t="s">
        <v>1177</v>
      </c>
      <c r="G38" s="10">
        <f>SUMPRODUCT(COUNTIF('Test Cases'!$A$2:$A$1513,{"TC_NA_008"}))</f>
        <v>1</v>
      </c>
      <c r="H38" s="10">
        <f>SUMPRODUCT(COUNTIFS('Test Cases'!$A$2:$A$1513,{"TC_NA_008"},'Test Cases'!$J$2:$J$1513,"Pass"))</f>
        <v>1</v>
      </c>
      <c r="I38" s="10">
        <f>SUMPRODUCT(COUNTIFS('Test Cases'!$A$2:$A$1513,{"TC_NA_008"},'Test Cases'!$J$2:$J$1513,"Fail"))</f>
        <v>0</v>
      </c>
      <c r="J38" s="10">
        <f>SUMPRODUCT(COUNTIFS('Test Cases'!$A$2:$A$1513,{"TC_NA_008"},'Test Cases'!$J$2:$J$1513,"Blocked"))</f>
        <v>0</v>
      </c>
      <c r="K38" s="10" t="str">
        <f t="shared" si="1"/>
        <v>Pass</v>
      </c>
      <c r="L38" s="9" t="s">
        <v>55</v>
      </c>
    </row>
    <row r="39" spans="1:12" x14ac:dyDescent="0.35">
      <c r="A39" s="10" t="s">
        <v>2308</v>
      </c>
      <c r="B39" s="10" t="s">
        <v>2305</v>
      </c>
      <c r="C39" s="9" t="s">
        <v>2306</v>
      </c>
      <c r="D39" s="9" t="s">
        <v>2309</v>
      </c>
      <c r="E39" s="10" t="s">
        <v>2284</v>
      </c>
      <c r="F39" s="9" t="s">
        <v>1180</v>
      </c>
      <c r="G39" s="10">
        <f>SUMPRODUCT(COUNTIF('Test Cases'!$A$2:$A$1513,{"TC_NA_009"}))</f>
        <v>1</v>
      </c>
      <c r="H39" s="10">
        <f>SUMPRODUCT(COUNTIFS('Test Cases'!$A$2:$A$1513,{"TC_NA_009"},'Test Cases'!$J$2:$J$1513,"Pass"))</f>
        <v>1</v>
      </c>
      <c r="I39" s="10">
        <f>SUMPRODUCT(COUNTIFS('Test Cases'!$A$2:$A$1513,{"TC_NA_009"},'Test Cases'!$J$2:$J$1513,"Fail"))</f>
        <v>0</v>
      </c>
      <c r="J39" s="10">
        <f>SUMPRODUCT(COUNTIFS('Test Cases'!$A$2:$A$1513,{"TC_NA_009"},'Test Cases'!$J$2:$J$1513,"Blocked"))</f>
        <v>0</v>
      </c>
      <c r="K39" s="10" t="str">
        <f t="shared" si="1"/>
        <v>Pass</v>
      </c>
      <c r="L39" s="9" t="s">
        <v>55</v>
      </c>
    </row>
    <row r="40" spans="1:12" x14ac:dyDescent="0.35">
      <c r="A40" s="10" t="s">
        <v>2310</v>
      </c>
      <c r="B40" s="10" t="s">
        <v>2305</v>
      </c>
      <c r="C40" s="9" t="s">
        <v>2306</v>
      </c>
      <c r="D40" s="9" t="s">
        <v>2311</v>
      </c>
      <c r="E40" s="10" t="s">
        <v>2273</v>
      </c>
      <c r="F40" s="9" t="s">
        <v>1187</v>
      </c>
      <c r="G40" s="10">
        <f>SUMPRODUCT(COUNTIF('Test Cases'!$A$2:$A$1513,{"TC_NA_011"}))</f>
        <v>1</v>
      </c>
      <c r="H40" s="10">
        <f>SUMPRODUCT(COUNTIFS('Test Cases'!$A$2:$A$1513,{"TC_NA_011"},'Test Cases'!$J$2:$J$1513,"Pass"))</f>
        <v>1</v>
      </c>
      <c r="I40" s="10">
        <f>SUMPRODUCT(COUNTIFS('Test Cases'!$A$2:$A$1513,{"TC_NA_011"},'Test Cases'!$J$2:$J$1513,"Fail"))</f>
        <v>0</v>
      </c>
      <c r="J40" s="10">
        <f>SUMPRODUCT(COUNTIFS('Test Cases'!$A$2:$A$1513,{"TC_NA_011"},'Test Cases'!$J$2:$J$1513,"Blocked"))</f>
        <v>0</v>
      </c>
      <c r="K40" s="10" t="str">
        <f t="shared" si="1"/>
        <v>Pass</v>
      </c>
      <c r="L40" s="9" t="s">
        <v>55</v>
      </c>
    </row>
    <row r="41" spans="1:12" x14ac:dyDescent="0.35">
      <c r="A41" s="10" t="s">
        <v>206</v>
      </c>
      <c r="B41" s="10" t="s">
        <v>2305</v>
      </c>
      <c r="C41" s="9" t="s">
        <v>2306</v>
      </c>
      <c r="D41" s="9" t="s">
        <v>2312</v>
      </c>
      <c r="E41" s="10" t="s">
        <v>2288</v>
      </c>
      <c r="F41" s="9" t="s">
        <v>207</v>
      </c>
      <c r="G41" s="10">
        <f>SUMPRODUCT(COUNTIF('Test Cases'!$A$2:$A$1513,{"TC_NA_012"}))</f>
        <v>1</v>
      </c>
      <c r="H41" s="10">
        <f>SUMPRODUCT(COUNTIFS('Test Cases'!$A$2:$A$1513,{"TC_NA_012"},'Test Cases'!$J$2:$J$1513,"Pass"))</f>
        <v>0</v>
      </c>
      <c r="I41" s="10">
        <f>SUMPRODUCT(COUNTIFS('Test Cases'!$A$2:$A$1513,{"TC_NA_012"},'Test Cases'!$J$2:$J$1513,"Fail"))</f>
        <v>0</v>
      </c>
      <c r="J41" s="10">
        <f>SUMPRODUCT(COUNTIFS('Test Cases'!$A$2:$A$1513,{"TC_NA_012"},'Test Cases'!$J$2:$J$1513,"Blocked"))</f>
        <v>1</v>
      </c>
      <c r="K41" s="10" t="str">
        <f t="shared" si="1"/>
        <v>Blocked</v>
      </c>
      <c r="L41" s="9" t="s">
        <v>55</v>
      </c>
    </row>
    <row r="42" spans="1:12" x14ac:dyDescent="0.35">
      <c r="A42" s="10" t="s">
        <v>210</v>
      </c>
      <c r="B42" s="10" t="s">
        <v>2305</v>
      </c>
      <c r="C42" s="9" t="s">
        <v>2306</v>
      </c>
      <c r="D42" s="9" t="s">
        <v>2313</v>
      </c>
      <c r="E42" s="10" t="s">
        <v>2314</v>
      </c>
      <c r="F42" s="9" t="s">
        <v>211</v>
      </c>
      <c r="G42" s="10">
        <f>SUMPRODUCT(COUNTIF('Test Cases'!$A$2:$A$1513,{"TC_NA_014"}))</f>
        <v>1</v>
      </c>
      <c r="H42" s="10">
        <f>SUMPRODUCT(COUNTIFS('Test Cases'!$A$2:$A$1513,{"TC_NA_014"},'Test Cases'!$J$2:$J$1513,"Pass"))</f>
        <v>0</v>
      </c>
      <c r="I42" s="10">
        <f>SUMPRODUCT(COUNTIFS('Test Cases'!$A$2:$A$1513,{"TC_NA_014"},'Test Cases'!$J$2:$J$1513,"Fail"))</f>
        <v>0</v>
      </c>
      <c r="J42" s="10">
        <f>SUMPRODUCT(COUNTIFS('Test Cases'!$A$2:$A$1513,{"TC_NA_014"},'Test Cases'!$J$2:$J$1513,"Blocked"))</f>
        <v>1</v>
      </c>
      <c r="K42" s="10" t="str">
        <f t="shared" si="1"/>
        <v>Blocked</v>
      </c>
      <c r="L42" s="9" t="s">
        <v>55</v>
      </c>
    </row>
    <row r="43" spans="1:12" x14ac:dyDescent="0.35">
      <c r="A43" s="10" t="s">
        <v>2315</v>
      </c>
      <c r="B43" s="10" t="s">
        <v>2305</v>
      </c>
      <c r="C43" s="9" t="s">
        <v>2306</v>
      </c>
      <c r="D43" s="9" t="s">
        <v>2316</v>
      </c>
      <c r="E43" s="10" t="s">
        <v>2317</v>
      </c>
      <c r="F43" s="9" t="s">
        <v>1207</v>
      </c>
      <c r="G43" s="10">
        <f>SUMPRODUCT(COUNTIF('Test Cases'!$A$2:$A$1513,{"TC_NA_015"}))</f>
        <v>1</v>
      </c>
      <c r="H43" s="10">
        <f>SUMPRODUCT(COUNTIFS('Test Cases'!$A$2:$A$1513,{"TC_NA_015"},'Test Cases'!$J$2:$J$1513,"Pass"))</f>
        <v>1</v>
      </c>
      <c r="I43" s="10">
        <f>SUMPRODUCT(COUNTIFS('Test Cases'!$A$2:$A$1513,{"TC_NA_015"},'Test Cases'!$J$2:$J$1513,"Fail"))</f>
        <v>0</v>
      </c>
      <c r="J43" s="10">
        <f>SUMPRODUCT(COUNTIFS('Test Cases'!$A$2:$A$1513,{"TC_NA_015"},'Test Cases'!$J$2:$J$1513,"Blocked"))</f>
        <v>0</v>
      </c>
      <c r="K43" s="10" t="str">
        <f t="shared" si="1"/>
        <v>Pass</v>
      </c>
      <c r="L43" s="9" t="s">
        <v>55</v>
      </c>
    </row>
    <row r="44" spans="1:12" x14ac:dyDescent="0.35">
      <c r="A44" s="10" t="s">
        <v>2318</v>
      </c>
      <c r="B44" s="10" t="s">
        <v>2305</v>
      </c>
      <c r="C44" s="9" t="s">
        <v>2306</v>
      </c>
      <c r="D44" s="9" t="s">
        <v>2319</v>
      </c>
      <c r="E44" s="10" t="s">
        <v>2320</v>
      </c>
      <c r="F44" s="9" t="s">
        <v>1212</v>
      </c>
      <c r="G44" s="10">
        <f>SUMPRODUCT(COUNTIF('Test Cases'!$A$2:$A$1513,{"TC_NA_016"}))</f>
        <v>1</v>
      </c>
      <c r="H44" s="10">
        <f>SUMPRODUCT(COUNTIFS('Test Cases'!$A$2:$A$1513,{"TC_NA_016"},'Test Cases'!$J$2:$J$1513,"Pass"))</f>
        <v>1</v>
      </c>
      <c r="I44" s="10">
        <f>SUMPRODUCT(COUNTIFS('Test Cases'!$A$2:$A$1513,{"TC_NA_016"},'Test Cases'!$J$2:$J$1513,"Fail"))</f>
        <v>0</v>
      </c>
      <c r="J44" s="10">
        <f>SUMPRODUCT(COUNTIFS('Test Cases'!$A$2:$A$1513,{"TC_NA_016"},'Test Cases'!$J$2:$J$1513,"Blocked"))</f>
        <v>0</v>
      </c>
      <c r="K44" s="10" t="str">
        <f t="shared" si="1"/>
        <v>Pass</v>
      </c>
      <c r="L44" s="9" t="s">
        <v>55</v>
      </c>
    </row>
    <row r="45" spans="1:12" x14ac:dyDescent="0.35">
      <c r="A45" s="10" t="s">
        <v>2321</v>
      </c>
      <c r="B45" s="10" t="s">
        <v>2305</v>
      </c>
      <c r="C45" s="9" t="s">
        <v>2306</v>
      </c>
      <c r="D45" s="9" t="s">
        <v>2322</v>
      </c>
      <c r="E45" s="10" t="s">
        <v>2323</v>
      </c>
      <c r="F45" s="9" t="s">
        <v>1221</v>
      </c>
      <c r="G45" s="10">
        <f>SUMPRODUCT(COUNTIF('Test Cases'!$A$2:$A$1513,{"TC_NA_018"}))</f>
        <v>1</v>
      </c>
      <c r="H45" s="10">
        <f>SUMPRODUCT(COUNTIFS('Test Cases'!$A$2:$A$1513,{"TC_NA_018"},'Test Cases'!$J$2:$J$1513,"Pass"))</f>
        <v>1</v>
      </c>
      <c r="I45" s="10">
        <f>SUMPRODUCT(COUNTIFS('Test Cases'!$A$2:$A$1513,{"TC_NA_018"},'Test Cases'!$J$2:$J$1513,"Fail"))</f>
        <v>0</v>
      </c>
      <c r="J45" s="10">
        <f>SUMPRODUCT(COUNTIFS('Test Cases'!$A$2:$A$1513,{"TC_NA_018"},'Test Cases'!$J$2:$J$1513,"Blocked"))</f>
        <v>0</v>
      </c>
      <c r="K45" s="10" t="str">
        <f t="shared" si="1"/>
        <v>Pass</v>
      </c>
      <c r="L45" s="9" t="s">
        <v>55</v>
      </c>
    </row>
    <row r="46" spans="1:12" x14ac:dyDescent="0.35">
      <c r="A46" s="10" t="s">
        <v>2324</v>
      </c>
      <c r="B46" s="10" t="s">
        <v>2325</v>
      </c>
      <c r="C46" s="9" t="s">
        <v>2326</v>
      </c>
      <c r="D46" s="9" t="s">
        <v>2327</v>
      </c>
      <c r="E46" s="10" t="s">
        <v>2328</v>
      </c>
      <c r="F46" s="9" t="s">
        <v>1326</v>
      </c>
      <c r="G46" s="10">
        <f>SUMPRODUCT(COUNTIF('Test Cases'!$A$2:$A$1513,{"TC_EA_009"}))</f>
        <v>1</v>
      </c>
      <c r="H46" s="10">
        <f>SUMPRODUCT(COUNTIFS('Test Cases'!$A$2:$A$1513,{"TC_EA_009"},'Test Cases'!$J$2:$J$1513,"Pass"))</f>
        <v>1</v>
      </c>
      <c r="I46" s="10">
        <f>SUMPRODUCT(COUNTIFS('Test Cases'!$A$2:$A$1513,{"TC_EA_009"},'Test Cases'!$J$2:$J$1513,"Fail"))</f>
        <v>0</v>
      </c>
      <c r="J46" s="10">
        <f>SUMPRODUCT(COUNTIFS('Test Cases'!$A$2:$A$1513,{"TC_EA_009"},'Test Cases'!$J$2:$J$1513,"Blocked"))</f>
        <v>0</v>
      </c>
      <c r="K46" s="10" t="str">
        <f t="shared" si="1"/>
        <v>Pass</v>
      </c>
      <c r="L46" s="9" t="s">
        <v>55</v>
      </c>
    </row>
    <row r="47" spans="1:12" x14ac:dyDescent="0.35">
      <c r="A47" s="10" t="s">
        <v>2329</v>
      </c>
      <c r="B47" s="10" t="s">
        <v>2325</v>
      </c>
      <c r="C47" s="9" t="s">
        <v>2326</v>
      </c>
      <c r="D47" s="9" t="s">
        <v>2330</v>
      </c>
      <c r="E47" s="10" t="s">
        <v>2331</v>
      </c>
      <c r="F47" s="9" t="s">
        <v>1332</v>
      </c>
      <c r="G47" s="10">
        <f>SUMPRODUCT(COUNTIF('Test Cases'!$A$2:$A$1513,{"TC_EA_010"}))</f>
        <v>1</v>
      </c>
      <c r="H47" s="10">
        <f>SUMPRODUCT(COUNTIFS('Test Cases'!$A$2:$A$1513,{"TC_EA_010"},'Test Cases'!$J$2:$J$1513,"Pass"))</f>
        <v>0</v>
      </c>
      <c r="I47" s="10">
        <f>SUMPRODUCT(COUNTIFS('Test Cases'!$A$2:$A$1513,{"TC_EA_010"},'Test Cases'!$J$2:$J$1513,"Fail"))</f>
        <v>0</v>
      </c>
      <c r="J47" s="10">
        <f>SUMPRODUCT(COUNTIFS('Test Cases'!$A$2:$A$1513,{"TC_EA_010"},'Test Cases'!$J$2:$J$1513,"Blocked"))</f>
        <v>1</v>
      </c>
      <c r="K47" s="10" t="str">
        <f t="shared" si="1"/>
        <v>Blocked</v>
      </c>
      <c r="L47" s="9" t="s">
        <v>2332</v>
      </c>
    </row>
    <row r="48" spans="1:12" x14ac:dyDescent="0.35">
      <c r="A48" s="10" t="s">
        <v>2333</v>
      </c>
      <c r="B48" s="10" t="s">
        <v>2325</v>
      </c>
      <c r="C48" s="9" t="s">
        <v>2326</v>
      </c>
      <c r="D48" s="9" t="s">
        <v>2334</v>
      </c>
      <c r="E48" s="10" t="s">
        <v>2335</v>
      </c>
      <c r="F48" s="9" t="s">
        <v>1340</v>
      </c>
      <c r="G48" s="10">
        <f>SUMPRODUCT(COUNTIF('Test Cases'!$A$2:$A$1513,{"TC_EA_012"}))</f>
        <v>1</v>
      </c>
      <c r="H48" s="10">
        <f>SUMPRODUCT(COUNTIFS('Test Cases'!$A$2:$A$1513,{"TC_EA_012"},'Test Cases'!$J$2:$J$1513,"Pass"))</f>
        <v>0</v>
      </c>
      <c r="I48" s="10">
        <f>SUMPRODUCT(COUNTIFS('Test Cases'!$A$2:$A$1513,{"TC_EA_012"},'Test Cases'!$J$2:$J$1513,"Fail"))</f>
        <v>0</v>
      </c>
      <c r="J48" s="10">
        <f>SUMPRODUCT(COUNTIFS('Test Cases'!$A$2:$A$1513,{"TC_EA_012"},'Test Cases'!$J$2:$J$1513,"Blocked"))</f>
        <v>1</v>
      </c>
      <c r="K48" s="10" t="str">
        <f t="shared" si="1"/>
        <v>Blocked</v>
      </c>
      <c r="L48" s="9" t="s">
        <v>2332</v>
      </c>
    </row>
    <row r="49" spans="1:12" x14ac:dyDescent="0.35">
      <c r="A49" s="10" t="s">
        <v>234</v>
      </c>
      <c r="B49" s="10" t="s">
        <v>2325</v>
      </c>
      <c r="C49" s="9" t="s">
        <v>2326</v>
      </c>
      <c r="D49" s="9" t="s">
        <v>2336</v>
      </c>
      <c r="E49" s="10" t="s">
        <v>2288</v>
      </c>
      <c r="F49" s="9" t="s">
        <v>235</v>
      </c>
      <c r="G49" s="10">
        <f>SUMPRODUCT(COUNTIF('Test Cases'!$A$2:$A$1513,{"TC_EA_013"}))</f>
        <v>1</v>
      </c>
      <c r="H49" s="10">
        <f>SUMPRODUCT(COUNTIFS('Test Cases'!$A$2:$A$1513,{"TC_EA_013"},'Test Cases'!$J$2:$J$1513,"Pass"))</f>
        <v>0</v>
      </c>
      <c r="I49" s="10">
        <f>SUMPRODUCT(COUNTIFS('Test Cases'!$A$2:$A$1513,{"TC_EA_013"},'Test Cases'!$J$2:$J$1513,"Fail"))</f>
        <v>0</v>
      </c>
      <c r="J49" s="10">
        <f>SUMPRODUCT(COUNTIFS('Test Cases'!$A$2:$A$1513,{"TC_EA_013"},'Test Cases'!$J$2:$J$1513,"Blocked"))</f>
        <v>1</v>
      </c>
      <c r="K49" s="10" t="str">
        <f t="shared" si="1"/>
        <v>Blocked</v>
      </c>
      <c r="L49" s="9" t="s">
        <v>2332</v>
      </c>
    </row>
    <row r="50" spans="1:12" x14ac:dyDescent="0.35">
      <c r="A50" s="10" t="s">
        <v>226</v>
      </c>
      <c r="B50" s="10" t="s">
        <v>2325</v>
      </c>
      <c r="C50" s="9" t="s">
        <v>2326</v>
      </c>
      <c r="D50" s="9" t="s">
        <v>2337</v>
      </c>
      <c r="E50" s="10" t="s">
        <v>2314</v>
      </c>
      <c r="F50" s="9" t="s">
        <v>1321</v>
      </c>
      <c r="G50" s="10">
        <f>SUMPRODUCT(COUNTIF('Test Cases'!$A$2:$A$1513,{"TC_EA_008"}))</f>
        <v>1</v>
      </c>
      <c r="H50" s="10">
        <f>SUMPRODUCT(COUNTIFS('Test Cases'!$A$2:$A$1513,{"TC_EA_008"},'Test Cases'!$J$2:$J$1513,"Pass"))</f>
        <v>0</v>
      </c>
      <c r="I50" s="10">
        <f>SUMPRODUCT(COUNTIFS('Test Cases'!$A$2:$A$1513,{"TC_EA_008"},'Test Cases'!$J$2:$J$1513,"Fail"))</f>
        <v>0</v>
      </c>
      <c r="J50" s="10">
        <f>SUMPRODUCT(COUNTIFS('Test Cases'!$A$2:$A$1513,{"TC_EA_008"},'Test Cases'!$J$2:$J$1513,"Blocked"))</f>
        <v>1</v>
      </c>
      <c r="K50" s="10" t="str">
        <f t="shared" si="1"/>
        <v>Blocked</v>
      </c>
      <c r="L50" s="9" t="s">
        <v>2332</v>
      </c>
    </row>
    <row r="51" spans="1:12" x14ac:dyDescent="0.35">
      <c r="A51" s="10" t="s">
        <v>2338</v>
      </c>
      <c r="B51" s="10" t="s">
        <v>2339</v>
      </c>
      <c r="C51" s="9" t="s">
        <v>2340</v>
      </c>
      <c r="D51" s="9" t="s">
        <v>2327</v>
      </c>
      <c r="E51" s="10" t="s">
        <v>2328</v>
      </c>
      <c r="F51" s="9" t="s">
        <v>1386</v>
      </c>
      <c r="G51" s="10">
        <f>SUMPRODUCT(COUNTIF('Test Cases'!$A$2:$A$1513,{"TC_DA_006"}))</f>
        <v>1</v>
      </c>
      <c r="H51" s="10">
        <f>SUMPRODUCT(COUNTIFS('Test Cases'!$A$2:$A$1513,{"TC_DA_006"},'Test Cases'!$J$2:$J$1513,"Pass"))</f>
        <v>1</v>
      </c>
      <c r="I51" s="10">
        <f>SUMPRODUCT(COUNTIFS('Test Cases'!$A$2:$A$1513,{"TC_DA_006"},'Test Cases'!$J$2:$J$1513,"Fail"))</f>
        <v>0</v>
      </c>
      <c r="J51" s="10">
        <f>SUMPRODUCT(COUNTIFS('Test Cases'!$A$2:$A$1513,{"TC_DA_006"},'Test Cases'!$J$2:$J$1513,"Blocked"))</f>
        <v>0</v>
      </c>
      <c r="K51" s="10" t="str">
        <f t="shared" si="1"/>
        <v>Pass</v>
      </c>
      <c r="L51" s="9" t="s">
        <v>55</v>
      </c>
    </row>
    <row r="52" spans="1:12" x14ac:dyDescent="0.35">
      <c r="A52" s="10" t="s">
        <v>2341</v>
      </c>
      <c r="B52" s="10" t="s">
        <v>2339</v>
      </c>
      <c r="C52" s="9" t="s">
        <v>2340</v>
      </c>
      <c r="D52" s="9" t="s">
        <v>2330</v>
      </c>
      <c r="E52" s="10" t="s">
        <v>2331</v>
      </c>
      <c r="F52" s="9" t="s">
        <v>1389</v>
      </c>
      <c r="G52" s="10">
        <f>SUMPRODUCT(COUNTIF('Test Cases'!$A$2:$A$1513,{"TC_DA_007"}))</f>
        <v>1</v>
      </c>
      <c r="H52" s="10">
        <f>SUMPRODUCT(COUNTIFS('Test Cases'!$A$2:$A$1513,{"TC_DA_007"},'Test Cases'!$J$2:$J$1513,"Pass"))</f>
        <v>1</v>
      </c>
      <c r="I52" s="10">
        <f>SUMPRODUCT(COUNTIFS('Test Cases'!$A$2:$A$1513,{"TC_DA_007"},'Test Cases'!$J$2:$J$1513,"Fail"))</f>
        <v>0</v>
      </c>
      <c r="J52" s="10">
        <f>SUMPRODUCT(COUNTIFS('Test Cases'!$A$2:$A$1513,{"TC_DA_007"},'Test Cases'!$J$2:$J$1513,"Blocked"))</f>
        <v>0</v>
      </c>
      <c r="K52" s="10" t="str">
        <f t="shared" si="1"/>
        <v>Pass</v>
      </c>
      <c r="L52" s="9" t="s">
        <v>55</v>
      </c>
    </row>
    <row r="53" spans="1:12" x14ac:dyDescent="0.35">
      <c r="A53" s="10" t="s">
        <v>2342</v>
      </c>
      <c r="B53" s="10" t="s">
        <v>2339</v>
      </c>
      <c r="C53" s="9" t="s">
        <v>2340</v>
      </c>
      <c r="D53" s="9" t="s">
        <v>2334</v>
      </c>
      <c r="E53" s="10" t="s">
        <v>2335</v>
      </c>
      <c r="F53" s="9" t="s">
        <v>1394</v>
      </c>
      <c r="G53" s="10">
        <f>SUMPRODUCT(COUNTIF('Test Cases'!$A$2:$A$1513,{"TC_DA_009"}))</f>
        <v>1</v>
      </c>
      <c r="H53" s="10">
        <f>SUMPRODUCT(COUNTIFS('Test Cases'!$A$2:$A$1513,{"TC_DA_009"},'Test Cases'!$J$2:$J$1513,"Pass"))</f>
        <v>1</v>
      </c>
      <c r="I53" s="10">
        <f>SUMPRODUCT(COUNTIFS('Test Cases'!$A$2:$A$1513,{"TC_DA_009"},'Test Cases'!$J$2:$J$1513,"Fail"))</f>
        <v>0</v>
      </c>
      <c r="J53" s="10">
        <f>SUMPRODUCT(COUNTIFS('Test Cases'!$A$2:$A$1513,{"TC_DA_009"},'Test Cases'!$J$2:$J$1513,"Blocked"))</f>
        <v>0</v>
      </c>
      <c r="K53" s="10" t="str">
        <f t="shared" si="1"/>
        <v>Pass</v>
      </c>
      <c r="L53" s="9" t="s">
        <v>55</v>
      </c>
    </row>
    <row r="54" spans="1:12" x14ac:dyDescent="0.35">
      <c r="A54" s="10" t="s">
        <v>249</v>
      </c>
      <c r="B54" s="10" t="s">
        <v>2339</v>
      </c>
      <c r="C54" s="9" t="s">
        <v>2340</v>
      </c>
      <c r="D54" s="9" t="s">
        <v>2336</v>
      </c>
      <c r="E54" s="10" t="s">
        <v>2288</v>
      </c>
      <c r="F54" s="9" t="s">
        <v>250</v>
      </c>
      <c r="G54" s="10">
        <f>SUMPRODUCT(COUNTIF('Test Cases'!$A$2:$A$1513,{"TC_DA_010"}))</f>
        <v>1</v>
      </c>
      <c r="H54" s="10">
        <f>SUMPRODUCT(COUNTIFS('Test Cases'!$A$2:$A$1513,{"TC_DA_010"},'Test Cases'!$J$2:$J$1513,"Pass"))</f>
        <v>0</v>
      </c>
      <c r="I54" s="10">
        <f>SUMPRODUCT(COUNTIFS('Test Cases'!$A$2:$A$1513,{"TC_DA_010"},'Test Cases'!$J$2:$J$1513,"Fail"))</f>
        <v>1</v>
      </c>
      <c r="J54" s="10">
        <f>SUMPRODUCT(COUNTIFS('Test Cases'!$A$2:$A$1513,{"TC_DA_010"},'Test Cases'!$J$2:$J$1513,"Blocked"))</f>
        <v>0</v>
      </c>
      <c r="K54" s="10" t="str">
        <f t="shared" si="1"/>
        <v>Fail</v>
      </c>
      <c r="L54" s="9" t="s">
        <v>2343</v>
      </c>
    </row>
    <row r="55" spans="1:12" x14ac:dyDescent="0.35">
      <c r="A55" s="10" t="s">
        <v>253</v>
      </c>
      <c r="B55" s="10" t="s">
        <v>2339</v>
      </c>
      <c r="C55" s="9" t="s">
        <v>2340</v>
      </c>
      <c r="D55" s="9" t="s">
        <v>2344</v>
      </c>
      <c r="E55" s="10" t="s">
        <v>2273</v>
      </c>
      <c r="F55" s="9" t="s">
        <v>2345</v>
      </c>
      <c r="G55" s="10">
        <f>SUMPRODUCT(COUNTIF('Test Cases'!$A$2:$A$1513,{"TC_DA_011","TC_DA_013"}))</f>
        <v>2</v>
      </c>
      <c r="H55" s="10">
        <f>SUMPRODUCT(COUNTIFS('Test Cases'!$A$2:$A$1513,{"TC_DA_011","TC_DA_013"},'Test Cases'!$J$2:$J$1513,"Pass"))</f>
        <v>0</v>
      </c>
      <c r="I55" s="10">
        <f>SUMPRODUCT(COUNTIFS('Test Cases'!$A$2:$A$1513,{"TC_DA_011","TC_DA_013"},'Test Cases'!$J$2:$J$1513,"Fail"))</f>
        <v>1</v>
      </c>
      <c r="J55" s="10">
        <f>SUMPRODUCT(COUNTIFS('Test Cases'!$A$2:$A$1513,{"TC_DA_011","TC_DA_013"},'Test Cases'!$J$2:$J$1513,"Blocked"))</f>
        <v>1</v>
      </c>
      <c r="K55" s="10" t="str">
        <f t="shared" si="1"/>
        <v>Fail</v>
      </c>
      <c r="L55" s="9" t="s">
        <v>2343</v>
      </c>
    </row>
    <row r="56" spans="1:12" x14ac:dyDescent="0.35">
      <c r="A56" s="10" t="s">
        <v>2346</v>
      </c>
      <c r="B56" s="10" t="s">
        <v>2347</v>
      </c>
      <c r="C56" s="9" t="s">
        <v>2348</v>
      </c>
      <c r="D56" s="9" t="s">
        <v>2349</v>
      </c>
      <c r="E56" s="10" t="s">
        <v>2328</v>
      </c>
      <c r="F56" s="9" t="s">
        <v>1442</v>
      </c>
      <c r="G56" s="10">
        <f>SUMPRODUCT(COUNTIF('Test Cases'!$A$2:$A$1513,{"TC_DP_006"}))</f>
        <v>1</v>
      </c>
      <c r="H56" s="10">
        <f>SUMPRODUCT(COUNTIFS('Test Cases'!$A$2:$A$1513,{"TC_DP_006"},'Test Cases'!$J$2:$J$1513,"Pass"))</f>
        <v>1</v>
      </c>
      <c r="I56" s="10">
        <f>SUMPRODUCT(COUNTIFS('Test Cases'!$A$2:$A$1513,{"TC_DP_006"},'Test Cases'!$J$2:$J$1513,"Fail"))</f>
        <v>0</v>
      </c>
      <c r="J56" s="10">
        <f>SUMPRODUCT(COUNTIFS('Test Cases'!$A$2:$A$1513,{"TC_DP_006"},'Test Cases'!$J$2:$J$1513,"Blocked"))</f>
        <v>0</v>
      </c>
      <c r="K56" s="10" t="str">
        <f t="shared" si="1"/>
        <v>Pass</v>
      </c>
      <c r="L56" s="9" t="s">
        <v>55</v>
      </c>
    </row>
    <row r="57" spans="1:12" x14ac:dyDescent="0.35">
      <c r="A57" s="10" t="s">
        <v>2350</v>
      </c>
      <c r="B57" s="10" t="s">
        <v>2347</v>
      </c>
      <c r="C57" s="9" t="s">
        <v>2348</v>
      </c>
      <c r="D57" s="9" t="s">
        <v>2351</v>
      </c>
      <c r="E57" s="10" t="s">
        <v>2331</v>
      </c>
      <c r="F57" s="9" t="s">
        <v>1446</v>
      </c>
      <c r="G57" s="10">
        <f>SUMPRODUCT(COUNTIF('Test Cases'!$A$2:$A$1513,{"TC_DP_007"}))</f>
        <v>1</v>
      </c>
      <c r="H57" s="10">
        <f>SUMPRODUCT(COUNTIFS('Test Cases'!$A$2:$A$1513,{"TC_DP_007"},'Test Cases'!$J$2:$J$1513,"Pass"))</f>
        <v>1</v>
      </c>
      <c r="I57" s="10">
        <f>SUMPRODUCT(COUNTIFS('Test Cases'!$A$2:$A$1513,{"TC_DP_007"},'Test Cases'!$J$2:$J$1513,"Fail"))</f>
        <v>0</v>
      </c>
      <c r="J57" s="10">
        <f>SUMPRODUCT(COUNTIFS('Test Cases'!$A$2:$A$1513,{"TC_DP_007"},'Test Cases'!$J$2:$J$1513,"Blocked"))</f>
        <v>0</v>
      </c>
      <c r="K57" s="10" t="str">
        <f t="shared" si="1"/>
        <v>Pass</v>
      </c>
      <c r="L57" s="9" t="s">
        <v>55</v>
      </c>
    </row>
    <row r="58" spans="1:12" x14ac:dyDescent="0.35">
      <c r="A58" s="10" t="s">
        <v>2352</v>
      </c>
      <c r="B58" s="10" t="s">
        <v>2347</v>
      </c>
      <c r="C58" s="9" t="s">
        <v>2348</v>
      </c>
      <c r="D58" s="9" t="s">
        <v>2353</v>
      </c>
      <c r="E58" s="10" t="s">
        <v>2335</v>
      </c>
      <c r="F58" s="9" t="s">
        <v>1449</v>
      </c>
      <c r="G58" s="10">
        <f>SUMPRODUCT(COUNTIF('Test Cases'!$A$2:$A$1513,{"TC_DP_008"}))</f>
        <v>1</v>
      </c>
      <c r="H58" s="10">
        <f>SUMPRODUCT(COUNTIFS('Test Cases'!$A$2:$A$1513,{"TC_DP_008"},'Test Cases'!$J$2:$J$1513,"Pass"))</f>
        <v>0</v>
      </c>
      <c r="I58" s="10">
        <f>SUMPRODUCT(COUNTIFS('Test Cases'!$A$2:$A$1513,{"TC_DP_008"},'Test Cases'!$J$2:$J$1513,"Fail"))</f>
        <v>0</v>
      </c>
      <c r="J58" s="10">
        <f>SUMPRODUCT(COUNTIFS('Test Cases'!$A$2:$A$1513,{"TC_DP_008"},'Test Cases'!$J$2:$J$1513,"Blocked"))</f>
        <v>1</v>
      </c>
      <c r="K58" s="10" t="str">
        <f t="shared" si="1"/>
        <v>Blocked</v>
      </c>
      <c r="L58" s="9" t="s">
        <v>2354</v>
      </c>
    </row>
    <row r="59" spans="1:12" x14ac:dyDescent="0.35">
      <c r="A59" s="10" t="s">
        <v>2355</v>
      </c>
      <c r="B59" s="10" t="s">
        <v>2347</v>
      </c>
      <c r="C59" s="9" t="s">
        <v>2348</v>
      </c>
      <c r="D59" s="9" t="s">
        <v>2356</v>
      </c>
      <c r="E59" s="10" t="s">
        <v>2288</v>
      </c>
      <c r="F59" s="9" t="s">
        <v>1452</v>
      </c>
      <c r="G59" s="10">
        <f>SUMPRODUCT(COUNTIF('Test Cases'!$A$2:$A$1513,{"TC_DP_009"}))</f>
        <v>1</v>
      </c>
      <c r="H59" s="10">
        <f>SUMPRODUCT(COUNTIFS('Test Cases'!$A$2:$A$1513,{"TC_DP_009"},'Test Cases'!$J$2:$J$1513,"Pass"))</f>
        <v>0</v>
      </c>
      <c r="I59" s="10">
        <f>SUMPRODUCT(COUNTIFS('Test Cases'!$A$2:$A$1513,{"TC_DP_009"},'Test Cases'!$J$2:$J$1513,"Fail"))</f>
        <v>0</v>
      </c>
      <c r="J59" s="10">
        <f>SUMPRODUCT(COUNTIFS('Test Cases'!$A$2:$A$1513,{"TC_DP_009"},'Test Cases'!$J$2:$J$1513,"Blocked"))</f>
        <v>1</v>
      </c>
      <c r="K59" s="10" t="str">
        <f t="shared" si="1"/>
        <v>Blocked</v>
      </c>
      <c r="L59" s="9" t="s">
        <v>2354</v>
      </c>
    </row>
    <row r="60" spans="1:12" x14ac:dyDescent="0.35">
      <c r="A60" s="10" t="s">
        <v>2357</v>
      </c>
      <c r="B60" s="10" t="s">
        <v>2347</v>
      </c>
      <c r="C60" s="9" t="s">
        <v>2348</v>
      </c>
      <c r="D60" s="9" t="s">
        <v>2358</v>
      </c>
      <c r="E60" s="10" t="s">
        <v>2359</v>
      </c>
      <c r="F60" s="9" t="s">
        <v>1458</v>
      </c>
      <c r="G60" s="10">
        <f>SUMPRODUCT(COUNTIF('Test Cases'!$A$2:$A$1513,{"TC_DP_010"}))</f>
        <v>1</v>
      </c>
      <c r="H60" s="10">
        <f>SUMPRODUCT(COUNTIFS('Test Cases'!$A$2:$A$1513,{"TC_DP_010"},'Test Cases'!$J$2:$J$1513,"Pass"))</f>
        <v>1</v>
      </c>
      <c r="I60" s="10">
        <f>SUMPRODUCT(COUNTIFS('Test Cases'!$A$2:$A$1513,{"TC_DP_010"},'Test Cases'!$J$2:$J$1513,"Fail"))</f>
        <v>0</v>
      </c>
      <c r="J60" s="10">
        <f>SUMPRODUCT(COUNTIFS('Test Cases'!$A$2:$A$1513,{"TC_DP_010"},'Test Cases'!$J$2:$J$1513,"Blocked"))</f>
        <v>0</v>
      </c>
      <c r="K60" s="10" t="str">
        <f t="shared" si="1"/>
        <v>Pass</v>
      </c>
      <c r="L60" s="9" t="s">
        <v>55</v>
      </c>
    </row>
    <row r="61" spans="1:12" x14ac:dyDescent="0.35">
      <c r="A61" s="10" t="s">
        <v>2360</v>
      </c>
      <c r="B61" s="10" t="s">
        <v>2347</v>
      </c>
      <c r="C61" s="9" t="s">
        <v>2348</v>
      </c>
      <c r="D61" s="9" t="s">
        <v>2361</v>
      </c>
      <c r="E61" s="10" t="s">
        <v>2362</v>
      </c>
      <c r="F61" s="9" t="s">
        <v>1463</v>
      </c>
      <c r="G61" s="10">
        <f>SUMPRODUCT(COUNTIF('Test Cases'!$A$2:$A$1513,{"TC_DP_011"}))</f>
        <v>1</v>
      </c>
      <c r="H61" s="10">
        <f>SUMPRODUCT(COUNTIFS('Test Cases'!$A$2:$A$1513,{"TC_DP_011"},'Test Cases'!$J$2:$J$1513,"Pass"))</f>
        <v>1</v>
      </c>
      <c r="I61" s="10">
        <f>SUMPRODUCT(COUNTIFS('Test Cases'!$A$2:$A$1513,{"TC_DP_011"},'Test Cases'!$J$2:$J$1513,"Fail"))</f>
        <v>0</v>
      </c>
      <c r="J61" s="10">
        <f>SUMPRODUCT(COUNTIFS('Test Cases'!$A$2:$A$1513,{"TC_DP_011"},'Test Cases'!$J$2:$J$1513,"Blocked"))</f>
        <v>0</v>
      </c>
      <c r="K61" s="10" t="str">
        <f t="shared" si="1"/>
        <v>Pass</v>
      </c>
      <c r="L61" s="9" t="s">
        <v>55</v>
      </c>
    </row>
    <row r="62" spans="1:12" x14ac:dyDescent="0.35">
      <c r="A62" s="10" t="s">
        <v>2363</v>
      </c>
      <c r="B62" s="10" t="s">
        <v>2347</v>
      </c>
      <c r="C62" s="9" t="s">
        <v>2348</v>
      </c>
      <c r="D62" s="9" t="s">
        <v>2364</v>
      </c>
      <c r="E62" s="10" t="s">
        <v>2273</v>
      </c>
      <c r="F62" s="9" t="s">
        <v>1467</v>
      </c>
      <c r="G62" s="10">
        <f>SUMPRODUCT(COUNTIF('Test Cases'!$A$2:$A$1513,{"TC_DP_012"}))</f>
        <v>1</v>
      </c>
      <c r="H62" s="10">
        <f>SUMPRODUCT(COUNTIFS('Test Cases'!$A$2:$A$1513,{"TC_DP_012"},'Test Cases'!$J$2:$J$1513,"Pass"))</f>
        <v>0</v>
      </c>
      <c r="I62" s="10">
        <f>SUMPRODUCT(COUNTIFS('Test Cases'!$A$2:$A$1513,{"TC_DP_012"},'Test Cases'!$J$2:$J$1513,"Fail"))</f>
        <v>0</v>
      </c>
      <c r="J62" s="10">
        <f>SUMPRODUCT(COUNTIFS('Test Cases'!$A$2:$A$1513,{"TC_DP_012"},'Test Cases'!$J$2:$J$1513,"Blocked"))</f>
        <v>1</v>
      </c>
      <c r="K62" s="10" t="str">
        <f t="shared" si="1"/>
        <v>Blocked</v>
      </c>
      <c r="L62" s="9" t="s">
        <v>2354</v>
      </c>
    </row>
    <row r="63" spans="1:12" x14ac:dyDescent="0.35">
      <c r="A63" s="10" t="s">
        <v>270</v>
      </c>
      <c r="B63" s="10" t="s">
        <v>2347</v>
      </c>
      <c r="C63" s="9" t="s">
        <v>2348</v>
      </c>
      <c r="D63" s="9" t="s">
        <v>2365</v>
      </c>
      <c r="E63" s="10" t="s">
        <v>2366</v>
      </c>
      <c r="F63" s="9" t="s">
        <v>1493</v>
      </c>
      <c r="G63" s="10">
        <f>SUMPRODUCT(COUNTIF('Test Cases'!$A$2:$A$1513,{"TC_DP_018"}))</f>
        <v>1</v>
      </c>
      <c r="H63" s="10">
        <f>SUMPRODUCT(COUNTIFS('Test Cases'!$A$2:$A$1513,{"TC_DP_018"},'Test Cases'!$J$2:$J$1513,"Pass"))</f>
        <v>1</v>
      </c>
      <c r="I63" s="10">
        <f>SUMPRODUCT(COUNTIFS('Test Cases'!$A$2:$A$1513,{"TC_DP_018"},'Test Cases'!$J$2:$J$1513,"Fail"))</f>
        <v>0</v>
      </c>
      <c r="J63" s="10">
        <f>SUMPRODUCT(COUNTIFS('Test Cases'!$A$2:$A$1513,{"TC_DP_018"},'Test Cases'!$J$2:$J$1513,"Blocked"))</f>
        <v>0</v>
      </c>
      <c r="K63" s="10" t="str">
        <f t="shared" si="1"/>
        <v>Pass</v>
      </c>
      <c r="L63" s="9" t="s">
        <v>55</v>
      </c>
    </row>
    <row r="64" spans="1:12" x14ac:dyDescent="0.35">
      <c r="A64" s="10" t="s">
        <v>2367</v>
      </c>
      <c r="B64" s="10" t="s">
        <v>2368</v>
      </c>
      <c r="C64" s="9" t="s">
        <v>2369</v>
      </c>
      <c r="D64" s="9" t="s">
        <v>2349</v>
      </c>
      <c r="E64" s="10" t="s">
        <v>2328</v>
      </c>
      <c r="F64" s="9" t="s">
        <v>1593</v>
      </c>
      <c r="G64" s="10">
        <f>SUMPRODUCT(COUNTIF('Test Cases'!$A$2:$A$1513,{"TC_WD_012"}))</f>
        <v>1</v>
      </c>
      <c r="H64" s="10">
        <f>SUMPRODUCT(COUNTIFS('Test Cases'!$A$2:$A$1513,{"TC_WD_012"},'Test Cases'!$J$2:$J$1513,"Pass"))</f>
        <v>1</v>
      </c>
      <c r="I64" s="10">
        <f>SUMPRODUCT(COUNTIFS('Test Cases'!$A$2:$A$1513,{"TC_WD_012"},'Test Cases'!$J$2:$J$1513,"Fail"))</f>
        <v>0</v>
      </c>
      <c r="J64" s="10">
        <f>SUMPRODUCT(COUNTIFS('Test Cases'!$A$2:$A$1513,{"TC_WD_012"},'Test Cases'!$J$2:$J$1513,"Blocked"))</f>
        <v>0</v>
      </c>
      <c r="K64" s="10" t="str">
        <f t="shared" si="1"/>
        <v>Pass</v>
      </c>
      <c r="L64" s="9" t="s">
        <v>55</v>
      </c>
    </row>
    <row r="65" spans="1:12" x14ac:dyDescent="0.35">
      <c r="A65" s="10" t="s">
        <v>2370</v>
      </c>
      <c r="B65" s="10" t="s">
        <v>2368</v>
      </c>
      <c r="C65" s="9" t="s">
        <v>2369</v>
      </c>
      <c r="D65" s="9" t="s">
        <v>2351</v>
      </c>
      <c r="E65" s="10" t="s">
        <v>2331</v>
      </c>
      <c r="F65" s="9" t="s">
        <v>1596</v>
      </c>
      <c r="G65" s="10">
        <f>SUMPRODUCT(COUNTIF('Test Cases'!$A$2:$A$1513,{"TC_WD_013"}))</f>
        <v>1</v>
      </c>
      <c r="H65" s="10">
        <f>SUMPRODUCT(COUNTIFS('Test Cases'!$A$2:$A$1513,{"TC_WD_013"},'Test Cases'!$J$2:$J$1513,"Pass"))</f>
        <v>1</v>
      </c>
      <c r="I65" s="10">
        <f>SUMPRODUCT(COUNTIFS('Test Cases'!$A$2:$A$1513,{"TC_WD_013"},'Test Cases'!$J$2:$J$1513,"Fail"))</f>
        <v>0</v>
      </c>
      <c r="J65" s="10">
        <f>SUMPRODUCT(COUNTIFS('Test Cases'!$A$2:$A$1513,{"TC_WD_013"},'Test Cases'!$J$2:$J$1513,"Blocked"))</f>
        <v>0</v>
      </c>
      <c r="K65" s="10" t="str">
        <f t="shared" si="1"/>
        <v>Pass</v>
      </c>
      <c r="L65" s="9" t="s">
        <v>55</v>
      </c>
    </row>
    <row r="66" spans="1:12" x14ac:dyDescent="0.35">
      <c r="A66" s="10" t="s">
        <v>2371</v>
      </c>
      <c r="B66" s="10" t="s">
        <v>2368</v>
      </c>
      <c r="C66" s="9" t="s">
        <v>2369</v>
      </c>
      <c r="D66" s="9" t="s">
        <v>2353</v>
      </c>
      <c r="E66" s="10" t="s">
        <v>2335</v>
      </c>
      <c r="F66" s="9" t="s">
        <v>1599</v>
      </c>
      <c r="G66" s="10">
        <f>SUMPRODUCT(COUNTIF('Test Cases'!$A$2:$A$1513,{"TC_WD_014"}))</f>
        <v>1</v>
      </c>
      <c r="H66" s="10">
        <f>SUMPRODUCT(COUNTIFS('Test Cases'!$A$2:$A$1513,{"TC_WD_014"},'Test Cases'!$J$2:$J$1513,"Pass"))</f>
        <v>1</v>
      </c>
      <c r="I66" s="10">
        <f>SUMPRODUCT(COUNTIFS('Test Cases'!$A$2:$A$1513,{"TC_WD_014"},'Test Cases'!$J$2:$J$1513,"Fail"))</f>
        <v>0</v>
      </c>
      <c r="J66" s="10">
        <f>SUMPRODUCT(COUNTIFS('Test Cases'!$A$2:$A$1513,{"TC_WD_014"},'Test Cases'!$J$2:$J$1513,"Blocked"))</f>
        <v>0</v>
      </c>
      <c r="K66" s="10" t="str">
        <f t="shared" ref="K66:K97" si="2">IF(G66=0,"Not covered",IF(I66&gt;0,"Fail",IF(J66&gt;0,"Blocked",IF(H66=G66,"Pass","Partially executed"))))</f>
        <v>Pass</v>
      </c>
      <c r="L66" s="9" t="s">
        <v>55</v>
      </c>
    </row>
    <row r="67" spans="1:12" x14ac:dyDescent="0.35">
      <c r="A67" s="10" t="s">
        <v>2372</v>
      </c>
      <c r="B67" s="10" t="s">
        <v>2368</v>
      </c>
      <c r="C67" s="9" t="s">
        <v>2369</v>
      </c>
      <c r="D67" s="9" t="s">
        <v>2356</v>
      </c>
      <c r="E67" s="10" t="s">
        <v>2288</v>
      </c>
      <c r="F67" s="9" t="s">
        <v>1602</v>
      </c>
      <c r="G67" s="10">
        <f>SUMPRODUCT(COUNTIF('Test Cases'!$A$2:$A$1513,{"TC_WD_015"}))</f>
        <v>1</v>
      </c>
      <c r="H67" s="10">
        <f>SUMPRODUCT(COUNTIFS('Test Cases'!$A$2:$A$1513,{"TC_WD_015"},'Test Cases'!$J$2:$J$1513,"Pass"))</f>
        <v>1</v>
      </c>
      <c r="I67" s="10">
        <f>SUMPRODUCT(COUNTIFS('Test Cases'!$A$2:$A$1513,{"TC_WD_015"},'Test Cases'!$J$2:$J$1513,"Fail"))</f>
        <v>0</v>
      </c>
      <c r="J67" s="10">
        <f>SUMPRODUCT(COUNTIFS('Test Cases'!$A$2:$A$1513,{"TC_WD_015"},'Test Cases'!$J$2:$J$1513,"Blocked"))</f>
        <v>0</v>
      </c>
      <c r="K67" s="10" t="str">
        <f t="shared" si="2"/>
        <v>Pass</v>
      </c>
      <c r="L67" s="9" t="s">
        <v>55</v>
      </c>
    </row>
    <row r="68" spans="1:12" x14ac:dyDescent="0.35">
      <c r="A68" s="10" t="s">
        <v>2373</v>
      </c>
      <c r="B68" s="10" t="s">
        <v>2368</v>
      </c>
      <c r="C68" s="9" t="s">
        <v>2369</v>
      </c>
      <c r="D68" s="9" t="s">
        <v>2358</v>
      </c>
      <c r="E68" s="10" t="s">
        <v>2359</v>
      </c>
      <c r="F68" s="9" t="s">
        <v>1608</v>
      </c>
      <c r="G68" s="10">
        <f>SUMPRODUCT(COUNTIF('Test Cases'!$A$2:$A$1513,{"TC_WD_016"}))</f>
        <v>1</v>
      </c>
      <c r="H68" s="10">
        <f>SUMPRODUCT(COUNTIFS('Test Cases'!$A$2:$A$1513,{"TC_WD_016"},'Test Cases'!$J$2:$J$1513,"Pass"))</f>
        <v>1</v>
      </c>
      <c r="I68" s="10">
        <f>SUMPRODUCT(COUNTIFS('Test Cases'!$A$2:$A$1513,{"TC_WD_016"},'Test Cases'!$J$2:$J$1513,"Fail"))</f>
        <v>0</v>
      </c>
      <c r="J68" s="10">
        <f>SUMPRODUCT(COUNTIFS('Test Cases'!$A$2:$A$1513,{"TC_WD_016"},'Test Cases'!$J$2:$J$1513,"Blocked"))</f>
        <v>0</v>
      </c>
      <c r="K68" s="10" t="str">
        <f t="shared" si="2"/>
        <v>Pass</v>
      </c>
      <c r="L68" s="9" t="s">
        <v>55</v>
      </c>
    </row>
    <row r="69" spans="1:12" x14ac:dyDescent="0.35">
      <c r="A69" s="10" t="s">
        <v>2374</v>
      </c>
      <c r="B69" s="10" t="s">
        <v>2368</v>
      </c>
      <c r="C69" s="9" t="s">
        <v>2369</v>
      </c>
      <c r="D69" s="9" t="s">
        <v>2361</v>
      </c>
      <c r="E69" s="10" t="s">
        <v>2362</v>
      </c>
      <c r="F69" s="9" t="s">
        <v>1611</v>
      </c>
      <c r="G69" s="10">
        <f>SUMPRODUCT(COUNTIF('Test Cases'!$A$2:$A$1513,{"TC_WD_017"}))</f>
        <v>1</v>
      </c>
      <c r="H69" s="10">
        <f>SUMPRODUCT(COUNTIFS('Test Cases'!$A$2:$A$1513,{"TC_WD_017"},'Test Cases'!$J$2:$J$1513,"Pass"))</f>
        <v>1</v>
      </c>
      <c r="I69" s="10">
        <f>SUMPRODUCT(COUNTIFS('Test Cases'!$A$2:$A$1513,{"TC_WD_017"},'Test Cases'!$J$2:$J$1513,"Fail"))</f>
        <v>0</v>
      </c>
      <c r="J69" s="10">
        <f>SUMPRODUCT(COUNTIFS('Test Cases'!$A$2:$A$1513,{"TC_WD_017"},'Test Cases'!$J$2:$J$1513,"Blocked"))</f>
        <v>0</v>
      </c>
      <c r="K69" s="10" t="str">
        <f t="shared" si="2"/>
        <v>Pass</v>
      </c>
      <c r="L69" s="9" t="s">
        <v>55</v>
      </c>
    </row>
    <row r="70" spans="1:12" x14ac:dyDescent="0.35">
      <c r="A70" s="10" t="s">
        <v>2375</v>
      </c>
      <c r="B70" s="10" t="s">
        <v>2368</v>
      </c>
      <c r="C70" s="9" t="s">
        <v>2369</v>
      </c>
      <c r="D70" s="9" t="s">
        <v>2364</v>
      </c>
      <c r="E70" s="10" t="s">
        <v>2273</v>
      </c>
      <c r="F70" s="9" t="s">
        <v>1614</v>
      </c>
      <c r="G70" s="10">
        <f>SUMPRODUCT(COUNTIF('Test Cases'!$A$2:$A$1513,{"TC_WD_018"}))</f>
        <v>1</v>
      </c>
      <c r="H70" s="10">
        <f>SUMPRODUCT(COUNTIFS('Test Cases'!$A$2:$A$1513,{"TC_WD_018"},'Test Cases'!$J$2:$J$1513,"Pass"))</f>
        <v>0</v>
      </c>
      <c r="I70" s="10">
        <f>SUMPRODUCT(COUNTIFS('Test Cases'!$A$2:$A$1513,{"TC_WD_018"},'Test Cases'!$J$2:$J$1513,"Fail"))</f>
        <v>1</v>
      </c>
      <c r="J70" s="10">
        <f>SUMPRODUCT(COUNTIFS('Test Cases'!$A$2:$A$1513,{"TC_WD_018"},'Test Cases'!$J$2:$J$1513,"Blocked"))</f>
        <v>0</v>
      </c>
      <c r="K70" s="10" t="str">
        <f t="shared" si="2"/>
        <v>Fail</v>
      </c>
      <c r="L70" s="9" t="s">
        <v>2376</v>
      </c>
    </row>
    <row r="71" spans="1:12" x14ac:dyDescent="0.35">
      <c r="A71" s="10" t="s">
        <v>285</v>
      </c>
      <c r="B71" s="10" t="s">
        <v>2368</v>
      </c>
      <c r="C71" s="9" t="s">
        <v>2369</v>
      </c>
      <c r="D71" s="9" t="s">
        <v>2377</v>
      </c>
      <c r="E71" s="10" t="s">
        <v>2378</v>
      </c>
      <c r="F71" s="9" t="s">
        <v>1571</v>
      </c>
      <c r="G71" s="10">
        <f>SUMPRODUCT(COUNTIF('Test Cases'!$A$2:$A$1513,{"TC_WD_008"}))</f>
        <v>1</v>
      </c>
      <c r="H71" s="10">
        <f>SUMPRODUCT(COUNTIFS('Test Cases'!$A$2:$A$1513,{"TC_WD_008"},'Test Cases'!$J$2:$J$1513,"Pass"))</f>
        <v>0</v>
      </c>
      <c r="I71" s="10">
        <f>SUMPRODUCT(COUNTIFS('Test Cases'!$A$2:$A$1513,{"TC_WD_008"},'Test Cases'!$J$2:$J$1513,"Fail"))</f>
        <v>1</v>
      </c>
      <c r="J71" s="10">
        <f>SUMPRODUCT(COUNTIFS('Test Cases'!$A$2:$A$1513,{"TC_WD_008"},'Test Cases'!$J$2:$J$1513,"Blocked"))</f>
        <v>0</v>
      </c>
      <c r="K71" s="10" t="str">
        <f t="shared" si="2"/>
        <v>Fail</v>
      </c>
      <c r="L71" s="9" t="s">
        <v>2376</v>
      </c>
    </row>
    <row r="72" spans="1:12" x14ac:dyDescent="0.35">
      <c r="A72" s="10" t="s">
        <v>294</v>
      </c>
      <c r="B72" s="10" t="s">
        <v>2368</v>
      </c>
      <c r="C72" s="9" t="s">
        <v>2369</v>
      </c>
      <c r="D72" s="9" t="s">
        <v>2365</v>
      </c>
      <c r="E72" s="10" t="s">
        <v>2366</v>
      </c>
      <c r="F72" s="9" t="s">
        <v>1629</v>
      </c>
      <c r="G72" s="10">
        <f>SUMPRODUCT(COUNTIF('Test Cases'!$A$2:$A$1513,{"TC_WD_023"}))</f>
        <v>1</v>
      </c>
      <c r="H72" s="10">
        <f>SUMPRODUCT(COUNTIFS('Test Cases'!$A$2:$A$1513,{"TC_WD_023"},'Test Cases'!$J$2:$J$1513,"Pass"))</f>
        <v>1</v>
      </c>
      <c r="I72" s="10">
        <f>SUMPRODUCT(COUNTIFS('Test Cases'!$A$2:$A$1513,{"TC_WD_023"},'Test Cases'!$J$2:$J$1513,"Fail"))</f>
        <v>0</v>
      </c>
      <c r="J72" s="10">
        <f>SUMPRODUCT(COUNTIFS('Test Cases'!$A$2:$A$1513,{"TC_WD_023"},'Test Cases'!$J$2:$J$1513,"Blocked"))</f>
        <v>0</v>
      </c>
      <c r="K72" s="10" t="str">
        <f t="shared" si="2"/>
        <v>Pass</v>
      </c>
      <c r="L72" s="9" t="s">
        <v>55</v>
      </c>
    </row>
    <row r="73" spans="1:12" x14ac:dyDescent="0.35">
      <c r="A73" s="10" t="s">
        <v>2379</v>
      </c>
      <c r="B73" s="10" t="s">
        <v>2380</v>
      </c>
      <c r="C73" s="9" t="s">
        <v>2381</v>
      </c>
      <c r="D73" s="9" t="s">
        <v>2382</v>
      </c>
      <c r="E73" s="10" t="s">
        <v>2383</v>
      </c>
      <c r="F73" s="9" t="s">
        <v>1691</v>
      </c>
      <c r="G73" s="10">
        <f>SUMPRODUCT(COUNTIF('Test Cases'!$A$2:$A$1513,{"TC_FT_008"}))</f>
        <v>1</v>
      </c>
      <c r="H73" s="10">
        <f>SUMPRODUCT(COUNTIFS('Test Cases'!$A$2:$A$1513,{"TC_FT_008"},'Test Cases'!$J$2:$J$1513,"Pass"))</f>
        <v>1</v>
      </c>
      <c r="I73" s="10">
        <f>SUMPRODUCT(COUNTIFS('Test Cases'!$A$2:$A$1513,{"TC_FT_008"},'Test Cases'!$J$2:$J$1513,"Fail"))</f>
        <v>0</v>
      </c>
      <c r="J73" s="10">
        <f>SUMPRODUCT(COUNTIFS('Test Cases'!$A$2:$A$1513,{"TC_FT_008"},'Test Cases'!$J$2:$J$1513,"Blocked"))</f>
        <v>0</v>
      </c>
      <c r="K73" s="10" t="str">
        <f t="shared" si="2"/>
        <v>Pass</v>
      </c>
      <c r="L73" s="9" t="s">
        <v>55</v>
      </c>
    </row>
    <row r="74" spans="1:12" x14ac:dyDescent="0.35">
      <c r="A74" s="10" t="s">
        <v>2384</v>
      </c>
      <c r="B74" s="10" t="s">
        <v>2380</v>
      </c>
      <c r="C74" s="9" t="s">
        <v>2381</v>
      </c>
      <c r="D74" s="9" t="s">
        <v>2385</v>
      </c>
      <c r="E74" s="10" t="s">
        <v>2331</v>
      </c>
      <c r="F74" s="9" t="s">
        <v>1705</v>
      </c>
      <c r="G74" s="10">
        <f>SUMPRODUCT(COUNTIF('Test Cases'!$A$2:$A$1513,{"TC_FT_011"}))</f>
        <v>1</v>
      </c>
      <c r="H74" s="10">
        <f>SUMPRODUCT(COUNTIFS('Test Cases'!$A$2:$A$1513,{"TC_FT_011"},'Test Cases'!$J$2:$J$1513,"Pass"))</f>
        <v>1</v>
      </c>
      <c r="I74" s="10">
        <f>SUMPRODUCT(COUNTIFS('Test Cases'!$A$2:$A$1513,{"TC_FT_011"},'Test Cases'!$J$2:$J$1513,"Fail"))</f>
        <v>0</v>
      </c>
      <c r="J74" s="10">
        <f>SUMPRODUCT(COUNTIFS('Test Cases'!$A$2:$A$1513,{"TC_FT_011"},'Test Cases'!$J$2:$J$1513,"Blocked"))</f>
        <v>0</v>
      </c>
      <c r="K74" s="10" t="str">
        <f t="shared" si="2"/>
        <v>Pass</v>
      </c>
      <c r="L74" s="9" t="s">
        <v>55</v>
      </c>
    </row>
    <row r="75" spans="1:12" x14ac:dyDescent="0.35">
      <c r="A75" s="10" t="s">
        <v>2386</v>
      </c>
      <c r="B75" s="10" t="s">
        <v>2380</v>
      </c>
      <c r="C75" s="9" t="s">
        <v>2381</v>
      </c>
      <c r="D75" s="9" t="s">
        <v>2387</v>
      </c>
      <c r="E75" s="10" t="s">
        <v>2335</v>
      </c>
      <c r="F75" s="9" t="s">
        <v>1711</v>
      </c>
      <c r="G75" s="10">
        <f>SUMPRODUCT(COUNTIF('Test Cases'!$A$2:$A$1513,{"TC_FT_013"}))</f>
        <v>1</v>
      </c>
      <c r="H75" s="10">
        <f>SUMPRODUCT(COUNTIFS('Test Cases'!$A$2:$A$1513,{"TC_FT_013"},'Test Cases'!$J$2:$J$1513,"Pass"))</f>
        <v>1</v>
      </c>
      <c r="I75" s="10">
        <f>SUMPRODUCT(COUNTIFS('Test Cases'!$A$2:$A$1513,{"TC_FT_013"},'Test Cases'!$J$2:$J$1513,"Fail"))</f>
        <v>0</v>
      </c>
      <c r="J75" s="10">
        <f>SUMPRODUCT(COUNTIFS('Test Cases'!$A$2:$A$1513,{"TC_FT_013"},'Test Cases'!$J$2:$J$1513,"Blocked"))</f>
        <v>0</v>
      </c>
      <c r="K75" s="10" t="str">
        <f t="shared" si="2"/>
        <v>Pass</v>
      </c>
      <c r="L75" s="9" t="s">
        <v>55</v>
      </c>
    </row>
    <row r="76" spans="1:12" x14ac:dyDescent="0.35">
      <c r="A76" s="10" t="s">
        <v>2388</v>
      </c>
      <c r="B76" s="10" t="s">
        <v>2380</v>
      </c>
      <c r="C76" s="9" t="s">
        <v>2381</v>
      </c>
      <c r="D76" s="9" t="s">
        <v>2389</v>
      </c>
      <c r="E76" s="10" t="s">
        <v>2390</v>
      </c>
      <c r="F76" s="9" t="s">
        <v>1696</v>
      </c>
      <c r="G76" s="10">
        <f>SUMPRODUCT(COUNTIF('Test Cases'!$A$2:$A$1513,{"TC_FT_009"}))</f>
        <v>1</v>
      </c>
      <c r="H76" s="10">
        <f>SUMPRODUCT(COUNTIFS('Test Cases'!$A$2:$A$1513,{"TC_FT_009"},'Test Cases'!$J$2:$J$1513,"Pass"))</f>
        <v>1</v>
      </c>
      <c r="I76" s="10">
        <f>SUMPRODUCT(COUNTIFS('Test Cases'!$A$2:$A$1513,{"TC_FT_009"},'Test Cases'!$J$2:$J$1513,"Fail"))</f>
        <v>0</v>
      </c>
      <c r="J76" s="10">
        <f>SUMPRODUCT(COUNTIFS('Test Cases'!$A$2:$A$1513,{"TC_FT_009"},'Test Cases'!$J$2:$J$1513,"Blocked"))</f>
        <v>0</v>
      </c>
      <c r="K76" s="10" t="str">
        <f t="shared" si="2"/>
        <v>Pass</v>
      </c>
      <c r="L76" s="9" t="s">
        <v>55</v>
      </c>
    </row>
    <row r="77" spans="1:12" x14ac:dyDescent="0.35">
      <c r="A77" s="10" t="s">
        <v>2391</v>
      </c>
      <c r="B77" s="10" t="s">
        <v>2380</v>
      </c>
      <c r="C77" s="9" t="s">
        <v>2381</v>
      </c>
      <c r="D77" s="9" t="s">
        <v>2392</v>
      </c>
      <c r="E77" s="10" t="s">
        <v>2331</v>
      </c>
      <c r="F77" s="9" t="s">
        <v>1708</v>
      </c>
      <c r="G77" s="10">
        <f>SUMPRODUCT(COUNTIF('Test Cases'!$A$2:$A$1513,{"TC_FT_012"}))</f>
        <v>1</v>
      </c>
      <c r="H77" s="10">
        <f>SUMPRODUCT(COUNTIFS('Test Cases'!$A$2:$A$1513,{"TC_FT_012"},'Test Cases'!$J$2:$J$1513,"Pass"))</f>
        <v>1</v>
      </c>
      <c r="I77" s="10">
        <f>SUMPRODUCT(COUNTIFS('Test Cases'!$A$2:$A$1513,{"TC_FT_012"},'Test Cases'!$J$2:$J$1513,"Fail"))</f>
        <v>0</v>
      </c>
      <c r="J77" s="10">
        <f>SUMPRODUCT(COUNTIFS('Test Cases'!$A$2:$A$1513,{"TC_FT_012"},'Test Cases'!$J$2:$J$1513,"Blocked"))</f>
        <v>0</v>
      </c>
      <c r="K77" s="10" t="str">
        <f t="shared" si="2"/>
        <v>Pass</v>
      </c>
      <c r="L77" s="9" t="s">
        <v>55</v>
      </c>
    </row>
    <row r="78" spans="1:12" x14ac:dyDescent="0.35">
      <c r="A78" s="10" t="s">
        <v>2393</v>
      </c>
      <c r="B78" s="10" t="s">
        <v>2380</v>
      </c>
      <c r="C78" s="9" t="s">
        <v>2381</v>
      </c>
      <c r="D78" s="9" t="s">
        <v>2394</v>
      </c>
      <c r="E78" s="10" t="s">
        <v>2335</v>
      </c>
      <c r="F78" s="9" t="s">
        <v>1715</v>
      </c>
      <c r="G78" s="10">
        <f>SUMPRODUCT(COUNTIF('Test Cases'!$A$2:$A$1513,{"TC_FT_014"}))</f>
        <v>1</v>
      </c>
      <c r="H78" s="10">
        <f>SUMPRODUCT(COUNTIFS('Test Cases'!$A$2:$A$1513,{"TC_FT_014"},'Test Cases'!$J$2:$J$1513,"Pass"))</f>
        <v>1</v>
      </c>
      <c r="I78" s="10">
        <f>SUMPRODUCT(COUNTIFS('Test Cases'!$A$2:$A$1513,{"TC_FT_014"},'Test Cases'!$J$2:$J$1513,"Fail"))</f>
        <v>0</v>
      </c>
      <c r="J78" s="10">
        <f>SUMPRODUCT(COUNTIFS('Test Cases'!$A$2:$A$1513,{"TC_FT_014"},'Test Cases'!$J$2:$J$1513,"Blocked"))</f>
        <v>0</v>
      </c>
      <c r="K78" s="10" t="str">
        <f t="shared" si="2"/>
        <v>Pass</v>
      </c>
      <c r="L78" s="9" t="s">
        <v>55</v>
      </c>
    </row>
    <row r="79" spans="1:12" x14ac:dyDescent="0.35">
      <c r="A79" s="10" t="s">
        <v>2395</v>
      </c>
      <c r="B79" s="10" t="s">
        <v>2380</v>
      </c>
      <c r="C79" s="9" t="s">
        <v>2381</v>
      </c>
      <c r="D79" s="9" t="s">
        <v>2396</v>
      </c>
      <c r="E79" s="10" t="s">
        <v>2397</v>
      </c>
      <c r="F79" s="9" t="s">
        <v>1685</v>
      </c>
      <c r="G79" s="10">
        <f>SUMPRODUCT(COUNTIF('Test Cases'!$A$2:$A$1513,{"TC_FT_007"}))</f>
        <v>1</v>
      </c>
      <c r="H79" s="10">
        <f>SUMPRODUCT(COUNTIFS('Test Cases'!$A$2:$A$1513,{"TC_FT_007"},'Test Cases'!$J$2:$J$1513,"Pass"))</f>
        <v>1</v>
      </c>
      <c r="I79" s="10">
        <f>SUMPRODUCT(COUNTIFS('Test Cases'!$A$2:$A$1513,{"TC_FT_007"},'Test Cases'!$J$2:$J$1513,"Fail"))</f>
        <v>0</v>
      </c>
      <c r="J79" s="10">
        <f>SUMPRODUCT(COUNTIFS('Test Cases'!$A$2:$A$1513,{"TC_FT_007"},'Test Cases'!$J$2:$J$1513,"Blocked"))</f>
        <v>0</v>
      </c>
      <c r="K79" s="10" t="str">
        <f t="shared" si="2"/>
        <v>Pass</v>
      </c>
      <c r="L79" s="9" t="s">
        <v>55</v>
      </c>
    </row>
    <row r="80" spans="1:12" x14ac:dyDescent="0.35">
      <c r="A80" s="10" t="s">
        <v>2398</v>
      </c>
      <c r="B80" s="10" t="s">
        <v>2380</v>
      </c>
      <c r="C80" s="9" t="s">
        <v>2381</v>
      </c>
      <c r="D80" s="9" t="s">
        <v>2358</v>
      </c>
      <c r="E80" s="10" t="s">
        <v>2359</v>
      </c>
      <c r="F80" s="9" t="s">
        <v>1720</v>
      </c>
      <c r="G80" s="10">
        <f>SUMPRODUCT(COUNTIF('Test Cases'!$A$2:$A$1513,{"TC_FT_015"}))</f>
        <v>1</v>
      </c>
      <c r="H80" s="10">
        <f>SUMPRODUCT(COUNTIFS('Test Cases'!$A$2:$A$1513,{"TC_FT_015"},'Test Cases'!$J$2:$J$1513,"Pass"))</f>
        <v>1</v>
      </c>
      <c r="I80" s="10">
        <f>SUMPRODUCT(COUNTIFS('Test Cases'!$A$2:$A$1513,{"TC_FT_015"},'Test Cases'!$J$2:$J$1513,"Fail"))</f>
        <v>0</v>
      </c>
      <c r="J80" s="10">
        <f>SUMPRODUCT(COUNTIFS('Test Cases'!$A$2:$A$1513,{"TC_FT_015"},'Test Cases'!$J$2:$J$1513,"Blocked"))</f>
        <v>0</v>
      </c>
      <c r="K80" s="10" t="str">
        <f t="shared" si="2"/>
        <v>Pass</v>
      </c>
      <c r="L80" s="9" t="s">
        <v>55</v>
      </c>
    </row>
    <row r="81" spans="1:12" x14ac:dyDescent="0.35">
      <c r="A81" s="10" t="s">
        <v>2399</v>
      </c>
      <c r="B81" s="10" t="s">
        <v>2380</v>
      </c>
      <c r="C81" s="9" t="s">
        <v>2381</v>
      </c>
      <c r="D81" s="9" t="s">
        <v>2361</v>
      </c>
      <c r="E81" s="10" t="s">
        <v>2362</v>
      </c>
      <c r="F81" s="9" t="s">
        <v>1723</v>
      </c>
      <c r="G81" s="10">
        <f>SUMPRODUCT(COUNTIF('Test Cases'!$A$2:$A$1513,{"TC_FT_016"}))</f>
        <v>1</v>
      </c>
      <c r="H81" s="10">
        <f>SUMPRODUCT(COUNTIFS('Test Cases'!$A$2:$A$1513,{"TC_FT_016"},'Test Cases'!$J$2:$J$1513,"Pass"))</f>
        <v>1</v>
      </c>
      <c r="I81" s="10">
        <f>SUMPRODUCT(COUNTIFS('Test Cases'!$A$2:$A$1513,{"TC_FT_016"},'Test Cases'!$J$2:$J$1513,"Fail"))</f>
        <v>0</v>
      </c>
      <c r="J81" s="10">
        <f>SUMPRODUCT(COUNTIFS('Test Cases'!$A$2:$A$1513,{"TC_FT_016"},'Test Cases'!$J$2:$J$1513,"Blocked"))</f>
        <v>0</v>
      </c>
      <c r="K81" s="10" t="str">
        <f t="shared" si="2"/>
        <v>Pass</v>
      </c>
      <c r="L81" s="9" t="s">
        <v>55</v>
      </c>
    </row>
    <row r="82" spans="1:12" x14ac:dyDescent="0.35">
      <c r="A82" s="10" t="s">
        <v>2400</v>
      </c>
      <c r="B82" s="10" t="s">
        <v>2380</v>
      </c>
      <c r="C82" s="9" t="s">
        <v>2381</v>
      </c>
      <c r="D82" s="9" t="s">
        <v>2401</v>
      </c>
      <c r="E82" s="10" t="s">
        <v>2378</v>
      </c>
      <c r="F82" s="9" t="s">
        <v>1680</v>
      </c>
      <c r="G82" s="10">
        <f>SUMPRODUCT(COUNTIF('Test Cases'!$A$2:$A$1513,{"TC_FT_006"}))</f>
        <v>1</v>
      </c>
      <c r="H82" s="10">
        <f>SUMPRODUCT(COUNTIFS('Test Cases'!$A$2:$A$1513,{"TC_FT_006"},'Test Cases'!$J$2:$J$1513,"Pass"))</f>
        <v>0</v>
      </c>
      <c r="I82" s="10">
        <f>SUMPRODUCT(COUNTIFS('Test Cases'!$A$2:$A$1513,{"TC_FT_006"},'Test Cases'!$J$2:$J$1513,"Fail"))</f>
        <v>1</v>
      </c>
      <c r="J82" s="10">
        <f>SUMPRODUCT(COUNTIFS('Test Cases'!$A$2:$A$1513,{"TC_FT_006"},'Test Cases'!$J$2:$J$1513,"Blocked"))</f>
        <v>0</v>
      </c>
      <c r="K82" s="10" t="str">
        <f t="shared" si="2"/>
        <v>Fail</v>
      </c>
      <c r="L82" s="9" t="s">
        <v>2402</v>
      </c>
    </row>
    <row r="83" spans="1:12" x14ac:dyDescent="0.35">
      <c r="A83" s="10" t="s">
        <v>315</v>
      </c>
      <c r="B83" s="10" t="s">
        <v>2380</v>
      </c>
      <c r="C83" s="9" t="s">
        <v>2381</v>
      </c>
      <c r="D83" s="9" t="s">
        <v>2365</v>
      </c>
      <c r="E83" s="10" t="s">
        <v>2366</v>
      </c>
      <c r="F83" s="9" t="s">
        <v>1744</v>
      </c>
      <c r="G83" s="10">
        <f>SUMPRODUCT(COUNTIF('Test Cases'!$A$2:$A$1513,{"TC_FT_021"}))</f>
        <v>1</v>
      </c>
      <c r="H83" s="10">
        <f>SUMPRODUCT(COUNTIFS('Test Cases'!$A$2:$A$1513,{"TC_FT_021"},'Test Cases'!$J$2:$J$1513,"Pass"))</f>
        <v>1</v>
      </c>
      <c r="I83" s="10">
        <f>SUMPRODUCT(COUNTIFS('Test Cases'!$A$2:$A$1513,{"TC_FT_021"},'Test Cases'!$J$2:$J$1513,"Fail"))</f>
        <v>0</v>
      </c>
      <c r="J83" s="10">
        <f>SUMPRODUCT(COUNTIFS('Test Cases'!$A$2:$A$1513,{"TC_FT_021"},'Test Cases'!$J$2:$J$1513,"Blocked"))</f>
        <v>0</v>
      </c>
      <c r="K83" s="10" t="str">
        <f t="shared" si="2"/>
        <v>Pass</v>
      </c>
      <c r="L83" s="9" t="s">
        <v>55</v>
      </c>
    </row>
    <row r="84" spans="1:12" x14ac:dyDescent="0.35">
      <c r="A84" s="10" t="s">
        <v>2403</v>
      </c>
      <c r="B84" s="10" t="s">
        <v>2380</v>
      </c>
      <c r="C84" s="9" t="s">
        <v>2381</v>
      </c>
      <c r="D84" s="9" t="s">
        <v>2404</v>
      </c>
      <c r="E84" s="10" t="s">
        <v>2288</v>
      </c>
      <c r="F84" s="9" t="s">
        <v>55</v>
      </c>
      <c r="G84" s="10">
        <v>0</v>
      </c>
      <c r="H84" s="10">
        <v>0</v>
      </c>
      <c r="I84" s="10">
        <v>0</v>
      </c>
      <c r="J84" s="10">
        <v>0</v>
      </c>
      <c r="K84" s="10" t="str">
        <f t="shared" si="2"/>
        <v>Not covered</v>
      </c>
      <c r="L84" s="9" t="s">
        <v>55</v>
      </c>
    </row>
    <row r="85" spans="1:12" x14ac:dyDescent="0.35">
      <c r="A85" s="10" t="s">
        <v>319</v>
      </c>
      <c r="B85" s="10" t="s">
        <v>2380</v>
      </c>
      <c r="C85" s="9" t="s">
        <v>2381</v>
      </c>
      <c r="D85" s="9" t="s">
        <v>2405</v>
      </c>
      <c r="E85" s="10" t="s">
        <v>2288</v>
      </c>
      <c r="F85" s="9" t="s">
        <v>1753</v>
      </c>
      <c r="G85" s="10">
        <f>SUMPRODUCT(COUNTIF('Test Cases'!$A$2:$A$1513,{"TC_FT_023"}))</f>
        <v>1</v>
      </c>
      <c r="H85" s="10">
        <f>SUMPRODUCT(COUNTIFS('Test Cases'!$A$2:$A$1513,{"TC_FT_023"},'Test Cases'!$J$2:$J$1513,"Pass"))</f>
        <v>1</v>
      </c>
      <c r="I85" s="10">
        <f>SUMPRODUCT(COUNTIFS('Test Cases'!$A$2:$A$1513,{"TC_FT_023"},'Test Cases'!$J$2:$J$1513,"Fail"))</f>
        <v>0</v>
      </c>
      <c r="J85" s="10">
        <f>SUMPRODUCT(COUNTIFS('Test Cases'!$A$2:$A$1513,{"TC_FT_023"},'Test Cases'!$J$2:$J$1513,"Blocked"))</f>
        <v>0</v>
      </c>
      <c r="K85" s="10" t="str">
        <f t="shared" si="2"/>
        <v>Pass</v>
      </c>
      <c r="L85" s="9" t="s">
        <v>55</v>
      </c>
    </row>
    <row r="86" spans="1:12" x14ac:dyDescent="0.35">
      <c r="A86" s="10" t="s">
        <v>2406</v>
      </c>
      <c r="B86" s="10" t="s">
        <v>2407</v>
      </c>
      <c r="C86" s="9" t="s">
        <v>2408</v>
      </c>
      <c r="D86" s="9" t="s">
        <v>2327</v>
      </c>
      <c r="E86" s="10" t="s">
        <v>2328</v>
      </c>
      <c r="F86" s="9" t="s">
        <v>1835</v>
      </c>
      <c r="G86" s="10">
        <f>SUMPRODUCT(COUNTIF('Test Cases'!$A$2:$A$1513,{"TC_BE_008"}))</f>
        <v>1</v>
      </c>
      <c r="H86" s="10">
        <f>SUMPRODUCT(COUNTIFS('Test Cases'!$A$2:$A$1513,{"TC_BE_008"},'Test Cases'!$J$2:$J$1513,"Pass"))</f>
        <v>1</v>
      </c>
      <c r="I86" s="10">
        <f>SUMPRODUCT(COUNTIFS('Test Cases'!$A$2:$A$1513,{"TC_BE_008"},'Test Cases'!$J$2:$J$1513,"Fail"))</f>
        <v>0</v>
      </c>
      <c r="J86" s="10">
        <f>SUMPRODUCT(COUNTIFS('Test Cases'!$A$2:$A$1513,{"TC_BE_008"},'Test Cases'!$J$2:$J$1513,"Blocked"))</f>
        <v>0</v>
      </c>
      <c r="K86" s="10" t="str">
        <f t="shared" si="2"/>
        <v>Pass</v>
      </c>
      <c r="L86" s="9" t="s">
        <v>55</v>
      </c>
    </row>
    <row r="87" spans="1:12" x14ac:dyDescent="0.35">
      <c r="A87" s="10" t="s">
        <v>2409</v>
      </c>
      <c r="B87" s="10" t="s">
        <v>2407</v>
      </c>
      <c r="C87" s="9" t="s">
        <v>2408</v>
      </c>
      <c r="D87" s="9" t="s">
        <v>2330</v>
      </c>
      <c r="E87" s="10" t="s">
        <v>2331</v>
      </c>
      <c r="F87" s="9" t="s">
        <v>1837</v>
      </c>
      <c r="G87" s="10">
        <f>SUMPRODUCT(COUNTIF('Test Cases'!$A$2:$A$1513,{"TC_BE_009"}))</f>
        <v>1</v>
      </c>
      <c r="H87" s="10">
        <f>SUMPRODUCT(COUNTIFS('Test Cases'!$A$2:$A$1513,{"TC_BE_009"},'Test Cases'!$J$2:$J$1513,"Pass"))</f>
        <v>1</v>
      </c>
      <c r="I87" s="10">
        <f>SUMPRODUCT(COUNTIFS('Test Cases'!$A$2:$A$1513,{"TC_BE_009"},'Test Cases'!$J$2:$J$1513,"Fail"))</f>
        <v>0</v>
      </c>
      <c r="J87" s="10">
        <f>SUMPRODUCT(COUNTIFS('Test Cases'!$A$2:$A$1513,{"TC_BE_009"},'Test Cases'!$J$2:$J$1513,"Blocked"))</f>
        <v>0</v>
      </c>
      <c r="K87" s="10" t="str">
        <f t="shared" si="2"/>
        <v>Pass</v>
      </c>
      <c r="L87" s="9" t="s">
        <v>55</v>
      </c>
    </row>
    <row r="88" spans="1:12" x14ac:dyDescent="0.35">
      <c r="A88" s="10" t="s">
        <v>2410</v>
      </c>
      <c r="B88" s="10" t="s">
        <v>2407</v>
      </c>
      <c r="C88" s="9" t="s">
        <v>2408</v>
      </c>
      <c r="D88" s="9" t="s">
        <v>2334</v>
      </c>
      <c r="E88" s="10" t="s">
        <v>2335</v>
      </c>
      <c r="F88" s="9" t="s">
        <v>1841</v>
      </c>
      <c r="G88" s="10">
        <f>SUMPRODUCT(COUNTIF('Test Cases'!$A$2:$A$1513,{"TC_BE_011"}))</f>
        <v>1</v>
      </c>
      <c r="H88" s="10">
        <f>SUMPRODUCT(COUNTIFS('Test Cases'!$A$2:$A$1513,{"TC_BE_011"},'Test Cases'!$J$2:$J$1513,"Pass"))</f>
        <v>0</v>
      </c>
      <c r="I88" s="10">
        <f>SUMPRODUCT(COUNTIFS('Test Cases'!$A$2:$A$1513,{"TC_BE_011"},'Test Cases'!$J$2:$J$1513,"Fail"))</f>
        <v>1</v>
      </c>
      <c r="J88" s="10">
        <f>SUMPRODUCT(COUNTIFS('Test Cases'!$A$2:$A$1513,{"TC_BE_011"},'Test Cases'!$J$2:$J$1513,"Blocked"))</f>
        <v>0</v>
      </c>
      <c r="K88" s="10" t="str">
        <f t="shared" si="2"/>
        <v>Fail</v>
      </c>
      <c r="L88" s="9" t="s">
        <v>2411</v>
      </c>
    </row>
    <row r="89" spans="1:12" x14ac:dyDescent="0.35">
      <c r="A89" s="10" t="s">
        <v>2412</v>
      </c>
      <c r="B89" s="10" t="s">
        <v>2407</v>
      </c>
      <c r="C89" s="9" t="s">
        <v>2408</v>
      </c>
      <c r="D89" s="9" t="s">
        <v>2413</v>
      </c>
      <c r="E89" s="10" t="s">
        <v>2288</v>
      </c>
      <c r="F89" s="9" t="s">
        <v>1848</v>
      </c>
      <c r="G89" s="10">
        <f>SUMPRODUCT(COUNTIF('Test Cases'!$A$2:$A$1513,{"TC_BE_013"}))</f>
        <v>1</v>
      </c>
      <c r="H89" s="10">
        <f>SUMPRODUCT(COUNTIFS('Test Cases'!$A$2:$A$1513,{"TC_BE_013"},'Test Cases'!$J$2:$J$1513,"Pass"))</f>
        <v>1</v>
      </c>
      <c r="I89" s="10">
        <f>SUMPRODUCT(COUNTIFS('Test Cases'!$A$2:$A$1513,{"TC_BE_013"},'Test Cases'!$J$2:$J$1513,"Fail"))</f>
        <v>0</v>
      </c>
      <c r="J89" s="10">
        <f>SUMPRODUCT(COUNTIFS('Test Cases'!$A$2:$A$1513,{"TC_BE_013"},'Test Cases'!$J$2:$J$1513,"Blocked"))</f>
        <v>0</v>
      </c>
      <c r="K89" s="10" t="str">
        <f t="shared" si="2"/>
        <v>Pass</v>
      </c>
      <c r="L89" s="9" t="s">
        <v>55</v>
      </c>
    </row>
    <row r="90" spans="1:12" x14ac:dyDescent="0.35">
      <c r="A90" s="10" t="s">
        <v>2414</v>
      </c>
      <c r="B90" s="10" t="s">
        <v>2407</v>
      </c>
      <c r="C90" s="9" t="s">
        <v>2408</v>
      </c>
      <c r="D90" s="9" t="s">
        <v>2415</v>
      </c>
      <c r="E90" s="10" t="s">
        <v>2288</v>
      </c>
      <c r="F90" s="9" t="s">
        <v>1843</v>
      </c>
      <c r="G90" s="10">
        <f>SUMPRODUCT(COUNTIF('Test Cases'!$A$2:$A$1513,{"TC_BE_012"}))</f>
        <v>1</v>
      </c>
      <c r="H90" s="10">
        <f>SUMPRODUCT(COUNTIFS('Test Cases'!$A$2:$A$1513,{"TC_BE_012"},'Test Cases'!$J$2:$J$1513,"Pass"))</f>
        <v>1</v>
      </c>
      <c r="I90" s="10">
        <f>SUMPRODUCT(COUNTIFS('Test Cases'!$A$2:$A$1513,{"TC_BE_012"},'Test Cases'!$J$2:$J$1513,"Fail"))</f>
        <v>0</v>
      </c>
      <c r="J90" s="10">
        <f>SUMPRODUCT(COUNTIFS('Test Cases'!$A$2:$A$1513,{"TC_BE_012"},'Test Cases'!$J$2:$J$1513,"Blocked"))</f>
        <v>0</v>
      </c>
      <c r="K90" s="10" t="str">
        <f t="shared" si="2"/>
        <v>Pass</v>
      </c>
      <c r="L90" s="9" t="s">
        <v>55</v>
      </c>
    </row>
    <row r="91" spans="1:12" x14ac:dyDescent="0.35">
      <c r="A91" s="10" t="s">
        <v>2416</v>
      </c>
      <c r="B91" s="10" t="s">
        <v>2417</v>
      </c>
      <c r="C91" s="9" t="s">
        <v>2418</v>
      </c>
      <c r="D91" s="9" t="s">
        <v>2327</v>
      </c>
      <c r="E91" s="10" t="s">
        <v>2328</v>
      </c>
      <c r="F91" s="9" t="s">
        <v>1932</v>
      </c>
      <c r="G91" s="10">
        <f>SUMPRODUCT(COUNTIF('Test Cases'!$A$2:$A$1513,{"TC_MS_015"}))</f>
        <v>1</v>
      </c>
      <c r="H91" s="10">
        <f>SUMPRODUCT(COUNTIFS('Test Cases'!$A$2:$A$1513,{"TC_MS_015"},'Test Cases'!$J$2:$J$1513,"Pass"))</f>
        <v>1</v>
      </c>
      <c r="I91" s="10">
        <f>SUMPRODUCT(COUNTIFS('Test Cases'!$A$2:$A$1513,{"TC_MS_015"},'Test Cases'!$J$2:$J$1513,"Fail"))</f>
        <v>0</v>
      </c>
      <c r="J91" s="10">
        <f>SUMPRODUCT(COUNTIFS('Test Cases'!$A$2:$A$1513,{"TC_MS_015"},'Test Cases'!$J$2:$J$1513,"Blocked"))</f>
        <v>0</v>
      </c>
      <c r="K91" s="10" t="str">
        <f t="shared" si="2"/>
        <v>Pass</v>
      </c>
      <c r="L91" s="9" t="s">
        <v>55</v>
      </c>
    </row>
    <row r="92" spans="1:12" x14ac:dyDescent="0.35">
      <c r="A92" s="10" t="s">
        <v>2419</v>
      </c>
      <c r="B92" s="10" t="s">
        <v>2417</v>
      </c>
      <c r="C92" s="9" t="s">
        <v>2418</v>
      </c>
      <c r="D92" s="9" t="s">
        <v>2330</v>
      </c>
      <c r="E92" s="10" t="s">
        <v>2331</v>
      </c>
      <c r="F92" s="9" t="s">
        <v>1934</v>
      </c>
      <c r="G92" s="10">
        <f>SUMPRODUCT(COUNTIF('Test Cases'!$A$2:$A$1513,{"TC_MS_016"}))</f>
        <v>1</v>
      </c>
      <c r="H92" s="10">
        <f>SUMPRODUCT(COUNTIFS('Test Cases'!$A$2:$A$1513,{"TC_MS_016"},'Test Cases'!$J$2:$J$1513,"Pass"))</f>
        <v>1</v>
      </c>
      <c r="I92" s="10">
        <f>SUMPRODUCT(COUNTIFS('Test Cases'!$A$2:$A$1513,{"TC_MS_016"},'Test Cases'!$J$2:$J$1513,"Fail"))</f>
        <v>0</v>
      </c>
      <c r="J92" s="10">
        <f>SUMPRODUCT(COUNTIFS('Test Cases'!$A$2:$A$1513,{"TC_MS_016"},'Test Cases'!$J$2:$J$1513,"Blocked"))</f>
        <v>0</v>
      </c>
      <c r="K92" s="10" t="str">
        <f t="shared" si="2"/>
        <v>Pass</v>
      </c>
      <c r="L92" s="9" t="s">
        <v>55</v>
      </c>
    </row>
    <row r="93" spans="1:12" x14ac:dyDescent="0.35">
      <c r="A93" s="10" t="s">
        <v>2420</v>
      </c>
      <c r="B93" s="10" t="s">
        <v>2417</v>
      </c>
      <c r="C93" s="9" t="s">
        <v>2418</v>
      </c>
      <c r="D93" s="9" t="s">
        <v>2334</v>
      </c>
      <c r="E93" s="10" t="s">
        <v>2335</v>
      </c>
      <c r="F93" s="9" t="s">
        <v>1937</v>
      </c>
      <c r="G93" s="10">
        <f>SUMPRODUCT(COUNTIF('Test Cases'!$A$2:$A$1513,{"TC_MS_018"}))</f>
        <v>1</v>
      </c>
      <c r="H93" s="10">
        <f>SUMPRODUCT(COUNTIFS('Test Cases'!$A$2:$A$1513,{"TC_MS_018"},'Test Cases'!$J$2:$J$1513,"Pass"))</f>
        <v>1</v>
      </c>
      <c r="I93" s="10">
        <f>SUMPRODUCT(COUNTIFS('Test Cases'!$A$2:$A$1513,{"TC_MS_018"},'Test Cases'!$J$2:$J$1513,"Fail"))</f>
        <v>0</v>
      </c>
      <c r="J93" s="10">
        <f>SUMPRODUCT(COUNTIFS('Test Cases'!$A$2:$A$1513,{"TC_MS_018"},'Test Cases'!$J$2:$J$1513,"Blocked"))</f>
        <v>0</v>
      </c>
      <c r="K93" s="10" t="str">
        <f t="shared" si="2"/>
        <v>Pass</v>
      </c>
      <c r="L93" s="9" t="s">
        <v>55</v>
      </c>
    </row>
    <row r="94" spans="1:12" x14ac:dyDescent="0.35">
      <c r="A94" s="10" t="s">
        <v>2421</v>
      </c>
      <c r="B94" s="10" t="s">
        <v>2417</v>
      </c>
      <c r="C94" s="9" t="s">
        <v>2418</v>
      </c>
      <c r="D94" s="9" t="s">
        <v>2422</v>
      </c>
      <c r="E94" s="10" t="s">
        <v>2273</v>
      </c>
      <c r="F94" s="9" t="s">
        <v>1885</v>
      </c>
      <c r="G94" s="10">
        <f>SUMPRODUCT(COUNTIF('Test Cases'!$A$2:$A$1513,{"TC_MS_005"}))</f>
        <v>1</v>
      </c>
      <c r="H94" s="10">
        <f>SUMPRODUCT(COUNTIFS('Test Cases'!$A$2:$A$1513,{"TC_MS_005"},'Test Cases'!$J$2:$J$1513,"Pass"))</f>
        <v>0</v>
      </c>
      <c r="I94" s="10">
        <f>SUMPRODUCT(COUNTIFS('Test Cases'!$A$2:$A$1513,{"TC_MS_005"},'Test Cases'!$J$2:$J$1513,"Fail"))</f>
        <v>1</v>
      </c>
      <c r="J94" s="10">
        <f>SUMPRODUCT(COUNTIFS('Test Cases'!$A$2:$A$1513,{"TC_MS_005"},'Test Cases'!$J$2:$J$1513,"Blocked"))</f>
        <v>0</v>
      </c>
      <c r="K94" s="10" t="str">
        <f t="shared" si="2"/>
        <v>Fail</v>
      </c>
      <c r="L94" s="9" t="s">
        <v>2423</v>
      </c>
    </row>
    <row r="95" spans="1:12" x14ac:dyDescent="0.35">
      <c r="A95" s="10" t="s">
        <v>2424</v>
      </c>
      <c r="B95" s="10" t="s">
        <v>2417</v>
      </c>
      <c r="C95" s="9" t="s">
        <v>2418</v>
      </c>
      <c r="D95" s="9" t="s">
        <v>2413</v>
      </c>
      <c r="E95" s="10" t="s">
        <v>2288</v>
      </c>
      <c r="F95" s="9" t="s">
        <v>55</v>
      </c>
      <c r="G95" s="10">
        <v>0</v>
      </c>
      <c r="H95" s="10">
        <v>0</v>
      </c>
      <c r="I95" s="10">
        <v>0</v>
      </c>
      <c r="J95" s="10">
        <v>0</v>
      </c>
      <c r="K95" s="10" t="str">
        <f t="shared" si="2"/>
        <v>Not covered</v>
      </c>
      <c r="L95" s="9" t="s">
        <v>55</v>
      </c>
    </row>
    <row r="96" spans="1:12" x14ac:dyDescent="0.35">
      <c r="A96" s="10" t="s">
        <v>2425</v>
      </c>
      <c r="B96" s="10" t="s">
        <v>2417</v>
      </c>
      <c r="C96" s="9" t="s">
        <v>2418</v>
      </c>
      <c r="D96" s="9" t="s">
        <v>2415</v>
      </c>
      <c r="E96" s="10" t="s">
        <v>2288</v>
      </c>
      <c r="F96" s="9" t="s">
        <v>365</v>
      </c>
      <c r="G96" s="10">
        <f>SUMPRODUCT(COUNTIF('Test Cases'!$A$2:$A$1513,{"TC_MS_019"}))</f>
        <v>1</v>
      </c>
      <c r="H96" s="10">
        <f>SUMPRODUCT(COUNTIFS('Test Cases'!$A$2:$A$1513,{"TC_MS_019"},'Test Cases'!$J$2:$J$1513,"Pass"))</f>
        <v>1</v>
      </c>
      <c r="I96" s="10">
        <f>SUMPRODUCT(COUNTIFS('Test Cases'!$A$2:$A$1513,{"TC_MS_019"},'Test Cases'!$J$2:$J$1513,"Fail"))</f>
        <v>0</v>
      </c>
      <c r="J96" s="10">
        <f>SUMPRODUCT(COUNTIFS('Test Cases'!$A$2:$A$1513,{"TC_MS_019"},'Test Cases'!$J$2:$J$1513,"Blocked"))</f>
        <v>0</v>
      </c>
      <c r="K96" s="10" t="str">
        <f t="shared" si="2"/>
        <v>Pass</v>
      </c>
      <c r="L96" s="9" t="s">
        <v>55</v>
      </c>
    </row>
    <row r="97" spans="1:12" x14ac:dyDescent="0.35">
      <c r="A97" s="10" t="s">
        <v>2426</v>
      </c>
      <c r="B97" s="10" t="s">
        <v>2427</v>
      </c>
      <c r="C97" s="9" t="s">
        <v>2428</v>
      </c>
      <c r="D97" s="9" t="s">
        <v>2349</v>
      </c>
      <c r="E97" s="10" t="s">
        <v>2328</v>
      </c>
      <c r="F97" s="9" t="s">
        <v>2046</v>
      </c>
      <c r="G97" s="10">
        <f>SUMPRODUCT(COUNTIF('Test Cases'!$A$2:$A$1513,{"TC_CS_021"}))</f>
        <v>1</v>
      </c>
      <c r="H97" s="10">
        <f>SUMPRODUCT(COUNTIFS('Test Cases'!$A$2:$A$1513,{"TC_CS_021"},'Test Cases'!$J$2:$J$1513,"Pass"))</f>
        <v>0</v>
      </c>
      <c r="I97" s="10">
        <f>SUMPRODUCT(COUNTIFS('Test Cases'!$A$2:$A$1513,{"TC_CS_021"},'Test Cases'!$J$2:$J$1513,"Fail"))</f>
        <v>1</v>
      </c>
      <c r="J97" s="10">
        <f>SUMPRODUCT(COUNTIFS('Test Cases'!$A$2:$A$1513,{"TC_CS_021"},'Test Cases'!$J$2:$J$1513,"Blocked"))</f>
        <v>0</v>
      </c>
      <c r="K97" s="10" t="str">
        <f t="shared" si="2"/>
        <v>Fail</v>
      </c>
      <c r="L97" s="9" t="s">
        <v>2429</v>
      </c>
    </row>
    <row r="98" spans="1:12" x14ac:dyDescent="0.35">
      <c r="A98" s="10" t="s">
        <v>2430</v>
      </c>
      <c r="B98" s="10" t="s">
        <v>2427</v>
      </c>
      <c r="C98" s="9" t="s">
        <v>2428</v>
      </c>
      <c r="D98" s="9" t="s">
        <v>2351</v>
      </c>
      <c r="E98" s="10" t="s">
        <v>2331</v>
      </c>
      <c r="F98" s="9" t="s">
        <v>2049</v>
      </c>
      <c r="G98" s="10">
        <f>SUMPRODUCT(COUNTIF('Test Cases'!$A$2:$A$1513,{"TC_CS_022"}))</f>
        <v>1</v>
      </c>
      <c r="H98" s="10">
        <f>SUMPRODUCT(COUNTIFS('Test Cases'!$A$2:$A$1513,{"TC_CS_022"},'Test Cases'!$J$2:$J$1513,"Pass"))</f>
        <v>0</v>
      </c>
      <c r="I98" s="10">
        <f>SUMPRODUCT(COUNTIFS('Test Cases'!$A$2:$A$1513,{"TC_CS_022"},'Test Cases'!$J$2:$J$1513,"Fail"))</f>
        <v>1</v>
      </c>
      <c r="J98" s="10">
        <f>SUMPRODUCT(COUNTIFS('Test Cases'!$A$2:$A$1513,{"TC_CS_022"},'Test Cases'!$J$2:$J$1513,"Blocked"))</f>
        <v>0</v>
      </c>
      <c r="K98" s="10" t="str">
        <f t="shared" ref="K98:K129" si="3">IF(G98=0,"Not covered",IF(I98&gt;0,"Fail",IF(J98&gt;0,"Blocked",IF(H98=G98,"Pass","Partially executed"))))</f>
        <v>Fail</v>
      </c>
      <c r="L98" s="9" t="s">
        <v>2429</v>
      </c>
    </row>
    <row r="99" spans="1:12" x14ac:dyDescent="0.35">
      <c r="A99" s="10" t="s">
        <v>2431</v>
      </c>
      <c r="B99" s="10" t="s">
        <v>2427</v>
      </c>
      <c r="C99" s="9" t="s">
        <v>2428</v>
      </c>
      <c r="D99" s="9" t="s">
        <v>2353</v>
      </c>
      <c r="E99" s="10" t="s">
        <v>2335</v>
      </c>
      <c r="F99" s="9" t="s">
        <v>2052</v>
      </c>
      <c r="G99" s="10">
        <f>SUMPRODUCT(COUNTIF('Test Cases'!$A$2:$A$1513,{"TC_CS_023"}))</f>
        <v>1</v>
      </c>
      <c r="H99" s="10">
        <f>SUMPRODUCT(COUNTIFS('Test Cases'!$A$2:$A$1513,{"TC_CS_023"},'Test Cases'!$J$2:$J$1513,"Pass"))</f>
        <v>0</v>
      </c>
      <c r="I99" s="10">
        <f>SUMPRODUCT(COUNTIFS('Test Cases'!$A$2:$A$1513,{"TC_CS_023"},'Test Cases'!$J$2:$J$1513,"Fail"))</f>
        <v>1</v>
      </c>
      <c r="J99" s="10">
        <f>SUMPRODUCT(COUNTIFS('Test Cases'!$A$2:$A$1513,{"TC_CS_023"},'Test Cases'!$J$2:$J$1513,"Blocked"))</f>
        <v>0</v>
      </c>
      <c r="K99" s="10" t="str">
        <f t="shared" si="3"/>
        <v>Fail</v>
      </c>
      <c r="L99" s="9" t="s">
        <v>2429</v>
      </c>
    </row>
    <row r="100" spans="1:12" x14ac:dyDescent="0.35">
      <c r="A100" s="10" t="s">
        <v>2432</v>
      </c>
      <c r="B100" s="10" t="s">
        <v>2427</v>
      </c>
      <c r="C100" s="9" t="s">
        <v>2428</v>
      </c>
      <c r="D100" s="9" t="s">
        <v>2433</v>
      </c>
      <c r="E100" s="10" t="s">
        <v>2434</v>
      </c>
      <c r="F100" s="9" t="s">
        <v>1972</v>
      </c>
      <c r="G100" s="10">
        <f>SUMPRODUCT(COUNTIF('Test Cases'!$A$2:$A$1513,{"TC_CS_006"}))</f>
        <v>1</v>
      </c>
      <c r="H100" s="10">
        <f>SUMPRODUCT(COUNTIFS('Test Cases'!$A$2:$A$1513,{"TC_CS_006"},'Test Cases'!$J$2:$J$1513,"Pass"))</f>
        <v>0</v>
      </c>
      <c r="I100" s="10">
        <f>SUMPRODUCT(COUNTIFS('Test Cases'!$A$2:$A$1513,{"TC_CS_006"},'Test Cases'!$J$2:$J$1513,"Fail"))</f>
        <v>1</v>
      </c>
      <c r="J100" s="10">
        <f>SUMPRODUCT(COUNTIFS('Test Cases'!$A$2:$A$1513,{"TC_CS_006"},'Test Cases'!$J$2:$J$1513,"Blocked"))</f>
        <v>0</v>
      </c>
      <c r="K100" s="10" t="str">
        <f t="shared" si="3"/>
        <v>Fail</v>
      </c>
      <c r="L100" s="9" t="s">
        <v>2435</v>
      </c>
    </row>
    <row r="101" spans="1:12" x14ac:dyDescent="0.35">
      <c r="A101" s="10" t="s">
        <v>2436</v>
      </c>
      <c r="B101" s="10" t="s">
        <v>2427</v>
      </c>
      <c r="C101" s="9" t="s">
        <v>2428</v>
      </c>
      <c r="D101" s="9" t="s">
        <v>2437</v>
      </c>
      <c r="E101" s="10" t="s">
        <v>2438</v>
      </c>
      <c r="F101" s="9" t="s">
        <v>1978</v>
      </c>
      <c r="G101" s="10">
        <f>SUMPRODUCT(COUNTIF('Test Cases'!$A$2:$A$1513,{"TC_CS_007"}))</f>
        <v>1</v>
      </c>
      <c r="H101" s="10">
        <f>SUMPRODUCT(COUNTIFS('Test Cases'!$A$2:$A$1513,{"TC_CS_007"},'Test Cases'!$J$2:$J$1513,"Pass"))</f>
        <v>0</v>
      </c>
      <c r="I101" s="10">
        <f>SUMPRODUCT(COUNTIFS('Test Cases'!$A$2:$A$1513,{"TC_CS_007"},'Test Cases'!$J$2:$J$1513,"Fail"))</f>
        <v>1</v>
      </c>
      <c r="J101" s="10">
        <f>SUMPRODUCT(COUNTIFS('Test Cases'!$A$2:$A$1513,{"TC_CS_007"},'Test Cases'!$J$2:$J$1513,"Blocked"))</f>
        <v>0</v>
      </c>
      <c r="K101" s="10" t="str">
        <f t="shared" si="3"/>
        <v>Fail</v>
      </c>
      <c r="L101" s="9" t="s">
        <v>2435</v>
      </c>
    </row>
    <row r="102" spans="1:12" x14ac:dyDescent="0.35">
      <c r="A102" s="10" t="s">
        <v>2439</v>
      </c>
      <c r="B102" s="10" t="s">
        <v>2427</v>
      </c>
      <c r="C102" s="9" t="s">
        <v>2428</v>
      </c>
      <c r="D102" s="9" t="s">
        <v>2440</v>
      </c>
      <c r="E102" s="10" t="s">
        <v>2441</v>
      </c>
      <c r="F102" s="9" t="s">
        <v>1966</v>
      </c>
      <c r="G102" s="10">
        <f>SUMPRODUCT(COUNTIF('Test Cases'!$A$2:$A$1513,{"TC_CS_005"}))</f>
        <v>1</v>
      </c>
      <c r="H102" s="10">
        <f>SUMPRODUCT(COUNTIFS('Test Cases'!$A$2:$A$1513,{"TC_CS_005"},'Test Cases'!$J$2:$J$1513,"Pass"))</f>
        <v>0</v>
      </c>
      <c r="I102" s="10">
        <f>SUMPRODUCT(COUNTIFS('Test Cases'!$A$2:$A$1513,{"TC_CS_005"},'Test Cases'!$J$2:$J$1513,"Fail"))</f>
        <v>1</v>
      </c>
      <c r="J102" s="10">
        <f>SUMPRODUCT(COUNTIFS('Test Cases'!$A$2:$A$1513,{"TC_CS_005"},'Test Cases'!$J$2:$J$1513,"Blocked"))</f>
        <v>0</v>
      </c>
      <c r="K102" s="10" t="str">
        <f t="shared" si="3"/>
        <v>Fail</v>
      </c>
      <c r="L102" s="9" t="s">
        <v>2435</v>
      </c>
    </row>
    <row r="103" spans="1:12" x14ac:dyDescent="0.35">
      <c r="A103" s="10" t="s">
        <v>2442</v>
      </c>
      <c r="B103" s="10" t="s">
        <v>2427</v>
      </c>
      <c r="C103" s="9" t="s">
        <v>2428</v>
      </c>
      <c r="D103" s="9" t="s">
        <v>2443</v>
      </c>
      <c r="E103" s="10" t="s">
        <v>2444</v>
      </c>
      <c r="F103" s="9" t="s">
        <v>2019</v>
      </c>
      <c r="G103" s="10">
        <f>SUMPRODUCT(COUNTIF('Test Cases'!$A$2:$A$1513,{"TC_CS_015"}))</f>
        <v>1</v>
      </c>
      <c r="H103" s="10">
        <f>SUMPRODUCT(COUNTIFS('Test Cases'!$A$2:$A$1513,{"TC_CS_015"},'Test Cases'!$J$2:$J$1513,"Pass"))</f>
        <v>1</v>
      </c>
      <c r="I103" s="10">
        <f>SUMPRODUCT(COUNTIFS('Test Cases'!$A$2:$A$1513,{"TC_CS_015"},'Test Cases'!$J$2:$J$1513,"Fail"))</f>
        <v>0</v>
      </c>
      <c r="J103" s="10">
        <f>SUMPRODUCT(COUNTIFS('Test Cases'!$A$2:$A$1513,{"TC_CS_015"},'Test Cases'!$J$2:$J$1513,"Blocked"))</f>
        <v>0</v>
      </c>
      <c r="K103" s="10" t="str">
        <f t="shared" si="3"/>
        <v>Pass</v>
      </c>
      <c r="L103" s="9" t="s">
        <v>55</v>
      </c>
    </row>
    <row r="104" spans="1:12" x14ac:dyDescent="0.35">
      <c r="A104" s="10" t="s">
        <v>2445</v>
      </c>
      <c r="B104" s="10" t="s">
        <v>2427</v>
      </c>
      <c r="C104" s="9" t="s">
        <v>2428</v>
      </c>
      <c r="D104" s="9" t="s">
        <v>2446</v>
      </c>
      <c r="E104" s="10" t="s">
        <v>2447</v>
      </c>
      <c r="F104" s="9" t="s">
        <v>2023</v>
      </c>
      <c r="G104" s="10">
        <f>SUMPRODUCT(COUNTIF('Test Cases'!$A$2:$A$1513,{"TC_CS_016"}))</f>
        <v>1</v>
      </c>
      <c r="H104" s="10">
        <f>SUMPRODUCT(COUNTIFS('Test Cases'!$A$2:$A$1513,{"TC_CS_016"},'Test Cases'!$J$2:$J$1513,"Pass"))</f>
        <v>1</v>
      </c>
      <c r="I104" s="10">
        <f>SUMPRODUCT(COUNTIFS('Test Cases'!$A$2:$A$1513,{"TC_CS_016"},'Test Cases'!$J$2:$J$1513,"Fail"))</f>
        <v>0</v>
      </c>
      <c r="J104" s="10">
        <f>SUMPRODUCT(COUNTIFS('Test Cases'!$A$2:$A$1513,{"TC_CS_016"},'Test Cases'!$J$2:$J$1513,"Blocked"))</f>
        <v>0</v>
      </c>
      <c r="K104" s="10" t="str">
        <f t="shared" si="3"/>
        <v>Pass</v>
      </c>
      <c r="L104" s="9" t="s">
        <v>55</v>
      </c>
    </row>
    <row r="105" spans="1:12" x14ac:dyDescent="0.35">
      <c r="A105" s="10" t="s">
        <v>2448</v>
      </c>
      <c r="B105" s="10" t="s">
        <v>2427</v>
      </c>
      <c r="C105" s="9" t="s">
        <v>2428</v>
      </c>
      <c r="D105" s="9" t="s">
        <v>2449</v>
      </c>
      <c r="E105" s="10" t="s">
        <v>2288</v>
      </c>
      <c r="F105" s="9" t="s">
        <v>55</v>
      </c>
      <c r="G105" s="10">
        <v>0</v>
      </c>
      <c r="H105" s="10">
        <v>0</v>
      </c>
      <c r="I105" s="10">
        <v>0</v>
      </c>
      <c r="J105" s="10">
        <v>0</v>
      </c>
      <c r="K105" s="10" t="str">
        <f t="shared" si="3"/>
        <v>Not covered</v>
      </c>
      <c r="L105" s="9" t="s">
        <v>55</v>
      </c>
    </row>
    <row r="106" spans="1:12" x14ac:dyDescent="0.35">
      <c r="A106" s="10" t="s">
        <v>2450</v>
      </c>
      <c r="B106" s="10" t="s">
        <v>2427</v>
      </c>
      <c r="C106" s="9" t="s">
        <v>2428</v>
      </c>
      <c r="D106" s="9" t="s">
        <v>2451</v>
      </c>
      <c r="E106" s="10" t="s">
        <v>2288</v>
      </c>
      <c r="F106" s="9" t="s">
        <v>388</v>
      </c>
      <c r="G106" s="10">
        <f>SUMPRODUCT(COUNTIF('Test Cases'!$A$2:$A$1513,{"TC_CS_024"}))</f>
        <v>1</v>
      </c>
      <c r="H106" s="10">
        <f>SUMPRODUCT(COUNTIFS('Test Cases'!$A$2:$A$1513,{"TC_CS_024"},'Test Cases'!$J$2:$J$1513,"Pass"))</f>
        <v>0</v>
      </c>
      <c r="I106" s="10">
        <f>SUMPRODUCT(COUNTIFS('Test Cases'!$A$2:$A$1513,{"TC_CS_024"},'Test Cases'!$J$2:$J$1513,"Fail"))</f>
        <v>1</v>
      </c>
      <c r="J106" s="10">
        <f>SUMPRODUCT(COUNTIFS('Test Cases'!$A$2:$A$1513,{"TC_CS_024"},'Test Cases'!$J$2:$J$1513,"Blocked"))</f>
        <v>0</v>
      </c>
      <c r="K106" s="10" t="str">
        <f t="shared" si="3"/>
        <v>Fail</v>
      </c>
      <c r="L106" s="9" t="s">
        <v>2429</v>
      </c>
    </row>
    <row r="107" spans="1:12" x14ac:dyDescent="0.35">
      <c r="A107" s="10" t="s">
        <v>2452</v>
      </c>
      <c r="B107" s="10" t="s">
        <v>2453</v>
      </c>
      <c r="C107" s="9" t="s">
        <v>2454</v>
      </c>
      <c r="D107" s="9" t="s">
        <v>2455</v>
      </c>
      <c r="E107" s="10" t="s">
        <v>2456</v>
      </c>
      <c r="F107" s="9" t="s">
        <v>2086</v>
      </c>
      <c r="G107" s="10">
        <f>SUMPRODUCT(COUNTIF('Test Cases'!$A$2:$A$1513,{"TC_CP_004"}))</f>
        <v>1</v>
      </c>
      <c r="H107" s="10">
        <f>SUMPRODUCT(COUNTIFS('Test Cases'!$A$2:$A$1513,{"TC_CP_004"},'Test Cases'!$J$2:$J$1513,"Pass"))</f>
        <v>1</v>
      </c>
      <c r="I107" s="10">
        <f>SUMPRODUCT(COUNTIFS('Test Cases'!$A$2:$A$1513,{"TC_CP_004"},'Test Cases'!$J$2:$J$1513,"Fail"))</f>
        <v>0</v>
      </c>
      <c r="J107" s="10">
        <f>SUMPRODUCT(COUNTIFS('Test Cases'!$A$2:$A$1513,{"TC_CP_004"},'Test Cases'!$J$2:$J$1513,"Blocked"))</f>
        <v>0</v>
      </c>
      <c r="K107" s="10" t="str">
        <f t="shared" si="3"/>
        <v>Pass</v>
      </c>
      <c r="L107" s="9" t="s">
        <v>55</v>
      </c>
    </row>
    <row r="108" spans="1:12" x14ac:dyDescent="0.35">
      <c r="A108" s="10" t="s">
        <v>402</v>
      </c>
      <c r="B108" s="10" t="s">
        <v>2453</v>
      </c>
      <c r="C108" s="9" t="s">
        <v>2454</v>
      </c>
      <c r="D108" s="9" t="s">
        <v>2457</v>
      </c>
      <c r="E108" s="10" t="s">
        <v>2458</v>
      </c>
      <c r="F108" s="9" t="s">
        <v>2105</v>
      </c>
      <c r="G108" s="10">
        <f>SUMPRODUCT(COUNTIF('Test Cases'!$A$2:$A$1513,{"TC_CP_008"}))</f>
        <v>1</v>
      </c>
      <c r="H108" s="10">
        <f>SUMPRODUCT(COUNTIFS('Test Cases'!$A$2:$A$1513,{"TC_CP_008"},'Test Cases'!$J$2:$J$1513,"Pass"))</f>
        <v>1</v>
      </c>
      <c r="I108" s="10">
        <f>SUMPRODUCT(COUNTIFS('Test Cases'!$A$2:$A$1513,{"TC_CP_008"},'Test Cases'!$J$2:$J$1513,"Fail"))</f>
        <v>0</v>
      </c>
      <c r="J108" s="10">
        <f>SUMPRODUCT(COUNTIFS('Test Cases'!$A$2:$A$1513,{"TC_CP_008"},'Test Cases'!$J$2:$J$1513,"Blocked"))</f>
        <v>0</v>
      </c>
      <c r="K108" s="10" t="str">
        <f t="shared" si="3"/>
        <v>Pass</v>
      </c>
      <c r="L108" s="9" t="s">
        <v>55</v>
      </c>
    </row>
    <row r="109" spans="1:12" x14ac:dyDescent="0.35">
      <c r="A109" s="10" t="s">
        <v>2459</v>
      </c>
      <c r="B109" s="10" t="s">
        <v>2453</v>
      </c>
      <c r="C109" s="9" t="s">
        <v>2454</v>
      </c>
      <c r="D109" s="9" t="s">
        <v>2460</v>
      </c>
      <c r="E109" s="10" t="s">
        <v>2461</v>
      </c>
      <c r="F109" s="9" t="s">
        <v>2092</v>
      </c>
      <c r="G109" s="10">
        <f>SUMPRODUCT(COUNTIF('Test Cases'!$A$2:$A$1513,{"TC_CP_005"}))</f>
        <v>1</v>
      </c>
      <c r="H109" s="10">
        <f>SUMPRODUCT(COUNTIFS('Test Cases'!$A$2:$A$1513,{"TC_CP_005"},'Test Cases'!$J$2:$J$1513,"Pass"))</f>
        <v>1</v>
      </c>
      <c r="I109" s="10">
        <f>SUMPRODUCT(COUNTIFS('Test Cases'!$A$2:$A$1513,{"TC_CP_005"},'Test Cases'!$J$2:$J$1513,"Fail"))</f>
        <v>0</v>
      </c>
      <c r="J109" s="10">
        <f>SUMPRODUCT(COUNTIFS('Test Cases'!$A$2:$A$1513,{"TC_CP_005"},'Test Cases'!$J$2:$J$1513,"Blocked"))</f>
        <v>0</v>
      </c>
      <c r="K109" s="10" t="str">
        <f t="shared" si="3"/>
        <v>Pass</v>
      </c>
      <c r="L109" s="9" t="s">
        <v>55</v>
      </c>
    </row>
    <row r="110" spans="1:12" x14ac:dyDescent="0.35">
      <c r="A110" s="10" t="s">
        <v>406</v>
      </c>
      <c r="B110" s="10" t="s">
        <v>2453</v>
      </c>
      <c r="C110" s="9" t="s">
        <v>2454</v>
      </c>
      <c r="D110" s="9" t="s">
        <v>2462</v>
      </c>
      <c r="E110" s="10" t="s">
        <v>2273</v>
      </c>
      <c r="F110" s="9" t="s">
        <v>2115</v>
      </c>
      <c r="G110" s="10">
        <f>SUMPRODUCT(COUNTIF('Test Cases'!$A$2:$A$1513,{"TC_CP_010"}))</f>
        <v>1</v>
      </c>
      <c r="H110" s="10">
        <f>SUMPRODUCT(COUNTIFS('Test Cases'!$A$2:$A$1513,{"TC_CP_010"},'Test Cases'!$J$2:$J$1513,"Pass"))</f>
        <v>0</v>
      </c>
      <c r="I110" s="10">
        <f>SUMPRODUCT(COUNTIFS('Test Cases'!$A$2:$A$1513,{"TC_CP_010"},'Test Cases'!$J$2:$J$1513,"Fail"))</f>
        <v>1</v>
      </c>
      <c r="J110" s="10">
        <f>SUMPRODUCT(COUNTIFS('Test Cases'!$A$2:$A$1513,{"TC_CP_010"},'Test Cases'!$J$2:$J$1513,"Blocked"))</f>
        <v>0</v>
      </c>
      <c r="K110" s="10" t="str">
        <f t="shared" si="3"/>
        <v>Fail</v>
      </c>
      <c r="L110" s="9" t="s">
        <v>2463</v>
      </c>
    </row>
    <row r="111" spans="1:12" x14ac:dyDescent="0.35">
      <c r="A111" s="10" t="s">
        <v>2464</v>
      </c>
      <c r="B111" s="10" t="s">
        <v>2453</v>
      </c>
      <c r="C111" s="9" t="s">
        <v>2454</v>
      </c>
      <c r="D111" s="9" t="s">
        <v>2465</v>
      </c>
      <c r="E111" s="10" t="s">
        <v>2466</v>
      </c>
      <c r="F111" s="9" t="s">
        <v>2097</v>
      </c>
      <c r="G111" s="10">
        <f>SUMPRODUCT(COUNTIF('Test Cases'!$A$2:$A$1513,{"TC_CP_006"}))</f>
        <v>1</v>
      </c>
      <c r="H111" s="10">
        <f>SUMPRODUCT(COUNTIFS('Test Cases'!$A$2:$A$1513,{"TC_CP_006"},'Test Cases'!$J$2:$J$1513,"Pass"))</f>
        <v>1</v>
      </c>
      <c r="I111" s="10">
        <f>SUMPRODUCT(COUNTIFS('Test Cases'!$A$2:$A$1513,{"TC_CP_006"},'Test Cases'!$J$2:$J$1513,"Fail"))</f>
        <v>0</v>
      </c>
      <c r="J111" s="10">
        <f>SUMPRODUCT(COUNTIFS('Test Cases'!$A$2:$A$1513,{"TC_CP_006"},'Test Cases'!$J$2:$J$1513,"Blocked"))</f>
        <v>0</v>
      </c>
      <c r="K111" s="10" t="str">
        <f t="shared" si="3"/>
        <v>Pass</v>
      </c>
      <c r="L111" s="9" t="s">
        <v>55</v>
      </c>
    </row>
    <row r="112" spans="1:12" x14ac:dyDescent="0.35">
      <c r="A112" s="10" t="s">
        <v>410</v>
      </c>
      <c r="B112" s="10" t="s">
        <v>2453</v>
      </c>
      <c r="C112" s="9" t="s">
        <v>2454</v>
      </c>
      <c r="D112" s="9" t="s">
        <v>2467</v>
      </c>
      <c r="E112" s="10" t="s">
        <v>2468</v>
      </c>
      <c r="F112" s="9" t="s">
        <v>2125</v>
      </c>
      <c r="G112" s="10">
        <f>SUMPRODUCT(COUNTIF('Test Cases'!$A$2:$A$1513,{"TC_CP_012"}))</f>
        <v>1</v>
      </c>
      <c r="H112" s="10">
        <f>SUMPRODUCT(COUNTIFS('Test Cases'!$A$2:$A$1513,{"TC_CP_012"},'Test Cases'!$J$2:$J$1513,"Pass"))</f>
        <v>1</v>
      </c>
      <c r="I112" s="10">
        <f>SUMPRODUCT(COUNTIFS('Test Cases'!$A$2:$A$1513,{"TC_CP_012"},'Test Cases'!$J$2:$J$1513,"Fail"))</f>
        <v>0</v>
      </c>
      <c r="J112" s="10">
        <f>SUMPRODUCT(COUNTIFS('Test Cases'!$A$2:$A$1513,{"TC_CP_012"},'Test Cases'!$J$2:$J$1513,"Blocked"))</f>
        <v>0</v>
      </c>
      <c r="K112" s="10" t="str">
        <f t="shared" si="3"/>
        <v>Pass</v>
      </c>
      <c r="L112" s="9" t="s">
        <v>55</v>
      </c>
    </row>
    <row r="113" spans="1:12" ht="29" x14ac:dyDescent="0.35">
      <c r="A113" s="10" t="s">
        <v>51</v>
      </c>
      <c r="B113" s="10" t="s">
        <v>51</v>
      </c>
      <c r="C113" s="9" t="s">
        <v>2200</v>
      </c>
      <c r="D113" s="9" t="s">
        <v>2469</v>
      </c>
      <c r="E113" s="10" t="s">
        <v>55</v>
      </c>
      <c r="F113" s="9" t="s">
        <v>2470</v>
      </c>
      <c r="G113" s="10">
        <f>SUMPRODUCT(COUNTIF('Test Cases'!$A$2:$A$1513,{"TC_LG_001","TC_LG_007","TC_LG_008","TC_LG_011","TC_LG_012","TC_LG_013","TC_LG_015"}))</f>
        <v>7</v>
      </c>
      <c r="H113" s="10">
        <f>SUMPRODUCT(COUNTIFS('Test Cases'!$A$2:$A$1513,{"TC_LG_001","TC_LG_007","TC_LG_008","TC_LG_011","TC_LG_012","TC_LG_013","TC_LG_015"},'Test Cases'!$J$2:$J$1513,"Pass"))</f>
        <v>4</v>
      </c>
      <c r="I113" s="10">
        <f>SUMPRODUCT(COUNTIFS('Test Cases'!$A$2:$A$1513,{"TC_LG_001","TC_LG_007","TC_LG_008","TC_LG_011","TC_LG_012","TC_LG_013","TC_LG_015"},'Test Cases'!$J$2:$J$1513,"Fail"))</f>
        <v>3</v>
      </c>
      <c r="J113" s="10">
        <f>SUMPRODUCT(COUNTIFS('Test Cases'!$A$2:$A$1513,{"TC_LG_001","TC_LG_007","TC_LG_008","TC_LG_011","TC_LG_012","TC_LG_013","TC_LG_015"},'Test Cases'!$J$2:$J$1513,"Blocked"))</f>
        <v>0</v>
      </c>
      <c r="K113" s="10" t="str">
        <f t="shared" si="3"/>
        <v>Fail</v>
      </c>
      <c r="L113" s="9" t="s">
        <v>2471</v>
      </c>
    </row>
    <row r="114" spans="1:12" x14ac:dyDescent="0.35">
      <c r="A114" s="10" t="s">
        <v>83</v>
      </c>
      <c r="B114" s="10" t="s">
        <v>2472</v>
      </c>
      <c r="C114" s="9" t="s">
        <v>136</v>
      </c>
      <c r="D114" s="9" t="s">
        <v>2473</v>
      </c>
      <c r="E114" s="10" t="s">
        <v>55</v>
      </c>
      <c r="F114" s="9" t="s">
        <v>84</v>
      </c>
      <c r="G114" s="10">
        <f>SUMPRODUCT(COUNTIF('Test Cases'!$A$2:$A$1513,{"TC_LG_016","TC_LG_017"}))</f>
        <v>2</v>
      </c>
      <c r="H114" s="10">
        <f>SUMPRODUCT(COUNTIFS('Test Cases'!$A$2:$A$1513,{"TC_LG_016","TC_LG_017"},'Test Cases'!$J$2:$J$1513,"Pass"))</f>
        <v>1</v>
      </c>
      <c r="I114" s="10">
        <f>SUMPRODUCT(COUNTIFS('Test Cases'!$A$2:$A$1513,{"TC_LG_016","TC_LG_017"},'Test Cases'!$J$2:$J$1513,"Fail"))</f>
        <v>1</v>
      </c>
      <c r="J114" s="10">
        <f>SUMPRODUCT(COUNTIFS('Test Cases'!$A$2:$A$1513,{"TC_LG_016","TC_LG_017"},'Test Cases'!$J$2:$J$1513,"Blocked"))</f>
        <v>0</v>
      </c>
      <c r="K114" s="10" t="str">
        <f t="shared" si="3"/>
        <v>Fail</v>
      </c>
      <c r="L114" s="9" t="s">
        <v>2474</v>
      </c>
    </row>
    <row r="115" spans="1:12" x14ac:dyDescent="0.35">
      <c r="A115" s="10" t="s">
        <v>87</v>
      </c>
      <c r="B115" s="10" t="s">
        <v>2475</v>
      </c>
      <c r="C115" s="9" t="s">
        <v>136</v>
      </c>
      <c r="D115" s="9" t="s">
        <v>2476</v>
      </c>
      <c r="E115" s="10" t="s">
        <v>55</v>
      </c>
      <c r="F115" s="9" t="s">
        <v>55</v>
      </c>
      <c r="G115" s="10">
        <v>0</v>
      </c>
      <c r="H115" s="10">
        <v>0</v>
      </c>
      <c r="I115" s="10">
        <v>0</v>
      </c>
      <c r="J115" s="10">
        <v>0</v>
      </c>
      <c r="K115" s="10" t="str">
        <f t="shared" si="3"/>
        <v>Not covered</v>
      </c>
      <c r="L115" s="9" t="s">
        <v>55</v>
      </c>
    </row>
    <row r="116" spans="1:12" ht="29" x14ac:dyDescent="0.35">
      <c r="A116" s="10" t="s">
        <v>90</v>
      </c>
      <c r="B116" s="10" t="s">
        <v>2477</v>
      </c>
      <c r="C116" s="9" t="s">
        <v>136</v>
      </c>
      <c r="D116" s="9" t="s">
        <v>2478</v>
      </c>
      <c r="E116" s="10" t="s">
        <v>55</v>
      </c>
      <c r="F116" s="9" t="s">
        <v>91</v>
      </c>
      <c r="G116" s="10">
        <f>SUMPRODUCT(COUNTIF('Test Cases'!$A$2:$A$1513,{"TC_LG_018"}))</f>
        <v>1</v>
      </c>
      <c r="H116" s="10">
        <f>SUMPRODUCT(COUNTIFS('Test Cases'!$A$2:$A$1513,{"TC_LG_018"},'Test Cases'!$J$2:$J$1513,"Pass"))</f>
        <v>0</v>
      </c>
      <c r="I116" s="10">
        <f>SUMPRODUCT(COUNTIFS('Test Cases'!$A$2:$A$1513,{"TC_LG_018"},'Test Cases'!$J$2:$J$1513,"Fail"))</f>
        <v>1</v>
      </c>
      <c r="J116" s="10">
        <f>SUMPRODUCT(COUNTIFS('Test Cases'!$A$2:$A$1513,{"TC_LG_018"},'Test Cases'!$J$2:$J$1513,"Blocked"))</f>
        <v>0</v>
      </c>
      <c r="K116" s="10" t="str">
        <f t="shared" si="3"/>
        <v>Fail</v>
      </c>
      <c r="L116" s="9" t="s">
        <v>2479</v>
      </c>
    </row>
    <row r="117" spans="1:12" x14ac:dyDescent="0.35">
      <c r="A117" s="10" t="s">
        <v>94</v>
      </c>
      <c r="B117" s="10" t="s">
        <v>2480</v>
      </c>
      <c r="C117" s="9" t="s">
        <v>136</v>
      </c>
      <c r="D117" s="9" t="s">
        <v>2481</v>
      </c>
      <c r="E117" s="10" t="s">
        <v>55</v>
      </c>
      <c r="F117" s="9" t="s">
        <v>95</v>
      </c>
      <c r="G117" s="10">
        <f>SUMPRODUCT(COUNTIF('Test Cases'!$A$2:$A$1513,{"TC_LG_014"}))</f>
        <v>1</v>
      </c>
      <c r="H117" s="10">
        <f>SUMPRODUCT(COUNTIFS('Test Cases'!$A$2:$A$1513,{"TC_LG_014"},'Test Cases'!$J$2:$J$1513,"Pass"))</f>
        <v>0</v>
      </c>
      <c r="I117" s="10">
        <f>SUMPRODUCT(COUNTIFS('Test Cases'!$A$2:$A$1513,{"TC_LG_014"},'Test Cases'!$J$2:$J$1513,"Fail"))</f>
        <v>1</v>
      </c>
      <c r="J117" s="10">
        <f>SUMPRODUCT(COUNTIFS('Test Cases'!$A$2:$A$1513,{"TC_LG_014"},'Test Cases'!$J$2:$J$1513,"Blocked"))</f>
        <v>0</v>
      </c>
      <c r="K117" s="10" t="str">
        <f t="shared" si="3"/>
        <v>Fail</v>
      </c>
      <c r="L117" s="9" t="s">
        <v>2482</v>
      </c>
    </row>
    <row r="118" spans="1:12" ht="29" x14ac:dyDescent="0.35">
      <c r="A118" s="10" t="s">
        <v>98</v>
      </c>
      <c r="B118" s="10" t="s">
        <v>98</v>
      </c>
      <c r="C118" s="9" t="s">
        <v>2219</v>
      </c>
      <c r="D118" s="9" t="s">
        <v>2483</v>
      </c>
      <c r="E118" s="10" t="s">
        <v>55</v>
      </c>
      <c r="F118" s="9" t="s">
        <v>2484</v>
      </c>
      <c r="G118" s="10">
        <f>SUMPRODUCT(COUNTIF('Test Cases'!$A$2:$A$1513,{"TC_NC_001","TC_NC_002","TC_NC_003","TC_NC_004","TC_NC_005","TC_NC_043","TC_NC_044","TC_NC_045","TC_NC_046","TC_NC_047"}))</f>
        <v>10</v>
      </c>
      <c r="H118" s="10">
        <f>SUMPRODUCT(COUNTIFS('Test Cases'!$A$2:$A$1513,{"TC_NC_001","TC_NC_002","TC_NC_003","TC_NC_004","TC_NC_005","TC_NC_043","TC_NC_044","TC_NC_045","TC_NC_046","TC_NC_047"},'Test Cases'!$J$2:$J$1513,"Pass"))</f>
        <v>8</v>
      </c>
      <c r="I118" s="10">
        <f>SUMPRODUCT(COUNTIFS('Test Cases'!$A$2:$A$1513,{"TC_NC_001","TC_NC_002","TC_NC_003","TC_NC_004","TC_NC_005","TC_NC_043","TC_NC_044","TC_NC_045","TC_NC_046","TC_NC_047"},'Test Cases'!$J$2:$J$1513,"Fail"))</f>
        <v>2</v>
      </c>
      <c r="J118" s="10">
        <f>SUMPRODUCT(COUNTIFS('Test Cases'!$A$2:$A$1513,{"TC_NC_001","TC_NC_002","TC_NC_003","TC_NC_004","TC_NC_005","TC_NC_043","TC_NC_044","TC_NC_045","TC_NC_046","TC_NC_047"},'Test Cases'!$J$2:$J$1513,"Blocked"))</f>
        <v>0</v>
      </c>
      <c r="K118" s="10" t="str">
        <f t="shared" si="3"/>
        <v>Fail</v>
      </c>
      <c r="L118" s="9" t="s">
        <v>2485</v>
      </c>
    </row>
    <row r="119" spans="1:12" x14ac:dyDescent="0.35">
      <c r="A119" s="10" t="s">
        <v>2486</v>
      </c>
      <c r="B119" s="10" t="s">
        <v>2218</v>
      </c>
      <c r="C119" s="9" t="s">
        <v>136</v>
      </c>
      <c r="D119" s="9" t="s">
        <v>2487</v>
      </c>
      <c r="E119" s="10" t="s">
        <v>55</v>
      </c>
      <c r="F119" s="9" t="s">
        <v>126</v>
      </c>
      <c r="G119" s="10">
        <f>SUMPRODUCT(COUNTIF('Test Cases'!$A$2:$A$1513,{"TC_NC_034","TC_NC_035","TC_NC_036","TC_NC_037"}))</f>
        <v>4</v>
      </c>
      <c r="H119" s="10">
        <f>SUMPRODUCT(COUNTIFS('Test Cases'!$A$2:$A$1513,{"TC_NC_034","TC_NC_035","TC_NC_036","TC_NC_037"},'Test Cases'!$J$2:$J$1513,"Pass"))</f>
        <v>2</v>
      </c>
      <c r="I119" s="10">
        <f>SUMPRODUCT(COUNTIFS('Test Cases'!$A$2:$A$1513,{"TC_NC_034","TC_NC_035","TC_NC_036","TC_NC_037"},'Test Cases'!$J$2:$J$1513,"Fail"))</f>
        <v>2</v>
      </c>
      <c r="J119" s="10">
        <f>SUMPRODUCT(COUNTIFS('Test Cases'!$A$2:$A$1513,{"TC_NC_034","TC_NC_035","TC_NC_036","TC_NC_037"},'Test Cases'!$J$2:$J$1513,"Blocked"))</f>
        <v>0</v>
      </c>
      <c r="K119" s="10" t="str">
        <f t="shared" si="3"/>
        <v>Fail</v>
      </c>
      <c r="L119" s="9" t="s">
        <v>2488</v>
      </c>
    </row>
    <row r="120" spans="1:12" ht="58" x14ac:dyDescent="0.35">
      <c r="A120" s="10" t="s">
        <v>136</v>
      </c>
      <c r="B120" s="10" t="s">
        <v>136</v>
      </c>
      <c r="C120" s="9" t="s">
        <v>136</v>
      </c>
      <c r="D120" s="9" t="s">
        <v>2489</v>
      </c>
      <c r="E120" s="10" t="s">
        <v>55</v>
      </c>
      <c r="F120" s="9" t="s">
        <v>2490</v>
      </c>
      <c r="G120" s="10">
        <f>SUMPRODUCT(COUNTIF('Test Cases'!$A$2:$A$1513,{"TC_BE_014","TC_BE_015","TC_CP_023","TC_DP_025","TC_DP_026","TC_DP_027","TC_EA_015","TC_EC_040","TC_FT_029","TC_FT_030","TC_FT_031","TC_MS_020","TC_NA_026","TC_NA_027","TC_NA_028","TC_NA_029","TC_NC_048","TC_NC_049","TC_NC_050","TC_NC_051","TC_NC_052"}))</f>
        <v>21</v>
      </c>
      <c r="H120" s="10">
        <f>SUMPRODUCT(COUNTIFS('Test Cases'!$A$2:$A$1513,{"TC_BE_014","TC_BE_015","TC_CP_023","TC_DP_025","TC_DP_026","TC_DP_027","TC_EA_015","TC_EC_040","TC_FT_029","TC_FT_030","TC_FT_031","TC_MS_020","TC_NA_026","TC_NA_027","TC_NA_028","TC_NA_029","TC_NC_048","TC_NC_049","TC_NC_050","TC_NC_051","TC_NC_052"},'Test Cases'!$J$2:$J$1513,"Pass"))</f>
        <v>14</v>
      </c>
      <c r="I120" s="10">
        <f>SUMPRODUCT(COUNTIFS('Test Cases'!$A$2:$A$1513,{"TC_BE_014","TC_BE_015","TC_CP_023","TC_DP_025","TC_DP_026","TC_DP_027","TC_EA_015","TC_EC_040","TC_FT_029","TC_FT_030","TC_FT_031","TC_MS_020","TC_NA_026","TC_NA_027","TC_NA_028","TC_NA_029","TC_NC_048","TC_NC_049","TC_NC_050","TC_NC_051","TC_NC_052"},'Test Cases'!$J$2:$J$1513,"Fail"))</f>
        <v>4</v>
      </c>
      <c r="J120" s="10">
        <f>SUMPRODUCT(COUNTIFS('Test Cases'!$A$2:$A$1513,{"TC_BE_014","TC_BE_015","TC_CP_023","TC_DP_025","TC_DP_026","TC_DP_027","TC_EA_015","TC_EC_040","TC_FT_029","TC_FT_030","TC_FT_031","TC_MS_020","TC_NA_026","TC_NA_027","TC_NA_028","TC_NA_029","TC_NC_048","TC_NC_049","TC_NC_050","TC_NC_051","TC_NC_052"},'Test Cases'!$J$2:$J$1513,"Blocked"))</f>
        <v>3</v>
      </c>
      <c r="K120" s="10" t="str">
        <f t="shared" si="3"/>
        <v>Fail</v>
      </c>
      <c r="L120" s="9" t="s">
        <v>2491</v>
      </c>
    </row>
    <row r="121" spans="1:12" ht="29" x14ac:dyDescent="0.35">
      <c r="A121" s="10" t="s">
        <v>140</v>
      </c>
      <c r="B121" s="10" t="s">
        <v>140</v>
      </c>
      <c r="C121" s="9" t="s">
        <v>2279</v>
      </c>
      <c r="D121" s="9" t="s">
        <v>2492</v>
      </c>
      <c r="E121" s="10" t="s">
        <v>55</v>
      </c>
      <c r="F121" s="9" t="s">
        <v>2493</v>
      </c>
      <c r="G121" s="10">
        <f>SUMPRODUCT(COUNTIF('Test Cases'!$A$2:$A$1513,{"TC_EC_001","TC_EC_002","TC_EC_003","TC_EC_010","TC_EC_011","TC_EC_012","TC_EC_013"}))</f>
        <v>7</v>
      </c>
      <c r="H121" s="10">
        <f>SUMPRODUCT(COUNTIFS('Test Cases'!$A$2:$A$1513,{"TC_EC_001","TC_EC_002","TC_EC_003","TC_EC_010","TC_EC_011","TC_EC_012","TC_EC_013"},'Test Cases'!$J$2:$J$1513,"Pass"))</f>
        <v>5</v>
      </c>
      <c r="I121" s="10">
        <f>SUMPRODUCT(COUNTIFS('Test Cases'!$A$2:$A$1513,{"TC_EC_001","TC_EC_002","TC_EC_003","TC_EC_010","TC_EC_011","TC_EC_012","TC_EC_013"},'Test Cases'!$J$2:$J$1513,"Fail"))</f>
        <v>2</v>
      </c>
      <c r="J121" s="10">
        <f>SUMPRODUCT(COUNTIFS('Test Cases'!$A$2:$A$1513,{"TC_EC_001","TC_EC_002","TC_EC_003","TC_EC_010","TC_EC_011","TC_EC_012","TC_EC_013"},'Test Cases'!$J$2:$J$1513,"Blocked"))</f>
        <v>0</v>
      </c>
      <c r="K121" s="10" t="str">
        <f t="shared" si="3"/>
        <v>Fail</v>
      </c>
      <c r="L121" s="9" t="s">
        <v>2494</v>
      </c>
    </row>
    <row r="122" spans="1:12" ht="29" x14ac:dyDescent="0.35">
      <c r="A122" s="10" t="s">
        <v>175</v>
      </c>
      <c r="B122" s="10" t="s">
        <v>175</v>
      </c>
      <c r="C122" s="9" t="s">
        <v>2299</v>
      </c>
      <c r="D122" s="9" t="s">
        <v>2495</v>
      </c>
      <c r="E122" s="10" t="s">
        <v>55</v>
      </c>
      <c r="F122" s="9" t="s">
        <v>2496</v>
      </c>
      <c r="G122" s="10">
        <f>SUMPRODUCT(COUNTIF('Test Cases'!$A$2:$A$1513,{"TC_DC_001","TC_DC_002","TC_DC_003","TC_DC_004","TC_DC_005","TC_DC_012","TC_DC_013","TC_DC_014"}))</f>
        <v>8</v>
      </c>
      <c r="H122" s="10">
        <f>SUMPRODUCT(COUNTIFS('Test Cases'!$A$2:$A$1513,{"TC_DC_001","TC_DC_002","TC_DC_003","TC_DC_004","TC_DC_005","TC_DC_012","TC_DC_013","TC_DC_014"},'Test Cases'!$J$2:$J$1513,"Pass"))</f>
        <v>6</v>
      </c>
      <c r="I122" s="10">
        <f>SUMPRODUCT(COUNTIFS('Test Cases'!$A$2:$A$1513,{"TC_DC_001","TC_DC_002","TC_DC_003","TC_DC_004","TC_DC_005","TC_DC_012","TC_DC_013","TC_DC_014"},'Test Cases'!$J$2:$J$1513,"Fail"))</f>
        <v>2</v>
      </c>
      <c r="J122" s="10">
        <f>SUMPRODUCT(COUNTIFS('Test Cases'!$A$2:$A$1513,{"TC_DC_001","TC_DC_002","TC_DC_003","TC_DC_004","TC_DC_005","TC_DC_012","TC_DC_013","TC_DC_014"},'Test Cases'!$J$2:$J$1513,"Blocked"))</f>
        <v>0</v>
      </c>
      <c r="K122" s="10" t="str">
        <f t="shared" si="3"/>
        <v>Fail</v>
      </c>
      <c r="L122" s="9" t="s">
        <v>2497</v>
      </c>
    </row>
    <row r="123" spans="1:12" ht="29" x14ac:dyDescent="0.35">
      <c r="A123" s="10" t="s">
        <v>198</v>
      </c>
      <c r="B123" s="10" t="s">
        <v>198</v>
      </c>
      <c r="C123" s="9" t="s">
        <v>2306</v>
      </c>
      <c r="D123" s="9" t="s">
        <v>2498</v>
      </c>
      <c r="E123" s="10" t="s">
        <v>55</v>
      </c>
      <c r="F123" s="9" t="s">
        <v>2499</v>
      </c>
      <c r="G123" s="10">
        <f>SUMPRODUCT(COUNTIF('Test Cases'!$A$2:$A$1513,{"TC_NA_001","TC_NA_002","TC_NA_003","TC_NA_004","TC_NA_005","TC_NA_006","TC_NA_007"}))</f>
        <v>7</v>
      </c>
      <c r="H123" s="10">
        <f>SUMPRODUCT(COUNTIFS('Test Cases'!$A$2:$A$1513,{"TC_NA_001","TC_NA_002","TC_NA_003","TC_NA_004","TC_NA_005","TC_NA_006","TC_NA_007"},'Test Cases'!$J$2:$J$1513,"Pass"))</f>
        <v>6</v>
      </c>
      <c r="I123" s="10">
        <f>SUMPRODUCT(COUNTIFS('Test Cases'!$A$2:$A$1513,{"TC_NA_001","TC_NA_002","TC_NA_003","TC_NA_004","TC_NA_005","TC_NA_006","TC_NA_007"},'Test Cases'!$J$2:$J$1513,"Fail"))</f>
        <v>1</v>
      </c>
      <c r="J123" s="10">
        <f>SUMPRODUCT(COUNTIFS('Test Cases'!$A$2:$A$1513,{"TC_NA_001","TC_NA_002","TC_NA_003","TC_NA_004","TC_NA_005","TC_NA_006","TC_NA_007"},'Test Cases'!$J$2:$J$1513,"Blocked"))</f>
        <v>0</v>
      </c>
      <c r="K123" s="10" t="str">
        <f t="shared" si="3"/>
        <v>Fail</v>
      </c>
      <c r="L123" s="9" t="s">
        <v>2411</v>
      </c>
    </row>
    <row r="124" spans="1:12" ht="29" x14ac:dyDescent="0.35">
      <c r="A124" s="10" t="s">
        <v>220</v>
      </c>
      <c r="B124" s="10" t="s">
        <v>220</v>
      </c>
      <c r="C124" s="9" t="s">
        <v>2326</v>
      </c>
      <c r="D124" s="9" t="s">
        <v>2500</v>
      </c>
      <c r="E124" s="10" t="s">
        <v>55</v>
      </c>
      <c r="F124" s="9" t="s">
        <v>2501</v>
      </c>
      <c r="G124" s="10">
        <f>SUMPRODUCT(COUNTIF('Test Cases'!$A$2:$A$1513,{"TC_EA_001","TC_EA_002","TC_EA_003"}))</f>
        <v>3</v>
      </c>
      <c r="H124" s="10">
        <f>SUMPRODUCT(COUNTIFS('Test Cases'!$A$2:$A$1513,{"TC_EA_001","TC_EA_002","TC_EA_003"},'Test Cases'!$J$2:$J$1513,"Pass"))</f>
        <v>0</v>
      </c>
      <c r="I124" s="10">
        <f>SUMPRODUCT(COUNTIFS('Test Cases'!$A$2:$A$1513,{"TC_EA_001","TC_EA_002","TC_EA_003"},'Test Cases'!$J$2:$J$1513,"Fail"))</f>
        <v>1</v>
      </c>
      <c r="J124" s="10">
        <f>SUMPRODUCT(COUNTIFS('Test Cases'!$A$2:$A$1513,{"TC_EA_001","TC_EA_002","TC_EA_003"},'Test Cases'!$J$2:$J$1513,"Blocked"))</f>
        <v>2</v>
      </c>
      <c r="K124" s="10" t="str">
        <f t="shared" si="3"/>
        <v>Fail</v>
      </c>
      <c r="L124" s="9" t="s">
        <v>2332</v>
      </c>
    </row>
    <row r="125" spans="1:12" ht="29" x14ac:dyDescent="0.35">
      <c r="A125" s="10" t="s">
        <v>241</v>
      </c>
      <c r="B125" s="10" t="s">
        <v>241</v>
      </c>
      <c r="C125" s="9" t="s">
        <v>2340</v>
      </c>
      <c r="D125" s="9" t="s">
        <v>2502</v>
      </c>
      <c r="E125" s="10" t="s">
        <v>55</v>
      </c>
      <c r="F125" s="9" t="s">
        <v>2503</v>
      </c>
      <c r="G125" s="10">
        <f>SUMPRODUCT(COUNTIF('Test Cases'!$A$2:$A$1513,{"TC_DA_001","TC_DA_002","TC_DA_003","TC_DA_004","TC_DA_005"}))</f>
        <v>5</v>
      </c>
      <c r="H125" s="10">
        <f>SUMPRODUCT(COUNTIFS('Test Cases'!$A$2:$A$1513,{"TC_DA_001","TC_DA_002","TC_DA_003","TC_DA_004","TC_DA_005"},'Test Cases'!$J$2:$J$1513,"Pass"))</f>
        <v>0</v>
      </c>
      <c r="I125" s="10">
        <f>SUMPRODUCT(COUNTIFS('Test Cases'!$A$2:$A$1513,{"TC_DA_001","TC_DA_002","TC_DA_003","TC_DA_004","TC_DA_005"},'Test Cases'!$J$2:$J$1513,"Fail"))</f>
        <v>2</v>
      </c>
      <c r="J125" s="10">
        <f>SUMPRODUCT(COUNTIFS('Test Cases'!$A$2:$A$1513,{"TC_DA_001","TC_DA_002","TC_DA_003","TC_DA_004","TC_DA_005"},'Test Cases'!$J$2:$J$1513,"Blocked"))</f>
        <v>3</v>
      </c>
      <c r="K125" s="10" t="str">
        <f t="shared" si="3"/>
        <v>Fail</v>
      </c>
      <c r="L125" s="9" t="s">
        <v>2343</v>
      </c>
    </row>
    <row r="126" spans="1:12" ht="29" x14ac:dyDescent="0.35">
      <c r="A126" s="10" t="s">
        <v>257</v>
      </c>
      <c r="B126" s="10" t="s">
        <v>257</v>
      </c>
      <c r="C126" s="9" t="s">
        <v>2348</v>
      </c>
      <c r="D126" s="9" t="s">
        <v>2504</v>
      </c>
      <c r="E126" s="10" t="s">
        <v>55</v>
      </c>
      <c r="F126" s="9" t="s">
        <v>2505</v>
      </c>
      <c r="G126" s="10">
        <f>SUMPRODUCT(COUNTIF('Test Cases'!$A$2:$A$1513,{"TC_DP_001","TC_DP_002","TC_DP_003","TC_DP_004","TC_DP_005","TC_DP_022","TC_DP_023","TC_DP_024"}))</f>
        <v>8</v>
      </c>
      <c r="H126" s="10">
        <f>SUMPRODUCT(COUNTIFS('Test Cases'!$A$2:$A$1513,{"TC_DP_001","TC_DP_002","TC_DP_003","TC_DP_004","TC_DP_005","TC_DP_022","TC_DP_023","TC_DP_024"},'Test Cases'!$J$2:$J$1513,"Pass"))</f>
        <v>2</v>
      </c>
      <c r="I126" s="10">
        <f>SUMPRODUCT(COUNTIFS('Test Cases'!$A$2:$A$1513,{"TC_DP_001","TC_DP_002","TC_DP_003","TC_DP_004","TC_DP_005","TC_DP_022","TC_DP_023","TC_DP_024"},'Test Cases'!$J$2:$J$1513,"Fail"))</f>
        <v>1</v>
      </c>
      <c r="J126" s="10">
        <f>SUMPRODUCT(COUNTIFS('Test Cases'!$A$2:$A$1513,{"TC_DP_001","TC_DP_002","TC_DP_003","TC_DP_004","TC_DP_005","TC_DP_022","TC_DP_023","TC_DP_024"},'Test Cases'!$J$2:$J$1513,"Blocked"))</f>
        <v>5</v>
      </c>
      <c r="K126" s="10" t="str">
        <f t="shared" si="3"/>
        <v>Fail</v>
      </c>
      <c r="L126" s="9" t="s">
        <v>2354</v>
      </c>
    </row>
    <row r="127" spans="1:12" ht="29" x14ac:dyDescent="0.35">
      <c r="A127" s="10" t="s">
        <v>279</v>
      </c>
      <c r="B127" s="10" t="s">
        <v>279</v>
      </c>
      <c r="C127" s="9" t="s">
        <v>2369</v>
      </c>
      <c r="D127" s="9" t="s">
        <v>2506</v>
      </c>
      <c r="E127" s="10" t="s">
        <v>55</v>
      </c>
      <c r="F127" s="9" t="s">
        <v>2507</v>
      </c>
      <c r="G127" s="10">
        <f>SUMPRODUCT(COUNTIF('Test Cases'!$A$2:$A$1513,{"TC_WD_001","TC_WD_002","TC_WD_003","TC_WD_004","TC_WD_005","TC_WD_026","TC_WD_027","TC_WD_028","TC_WD_029"}))</f>
        <v>9</v>
      </c>
      <c r="H127" s="10">
        <f>SUMPRODUCT(COUNTIFS('Test Cases'!$A$2:$A$1513,{"TC_WD_001","TC_WD_002","TC_WD_003","TC_WD_004","TC_WD_005","TC_WD_026","TC_WD_027","TC_WD_028","TC_WD_029"},'Test Cases'!$J$2:$J$1513,"Pass"))</f>
        <v>5</v>
      </c>
      <c r="I127" s="10">
        <f>SUMPRODUCT(COUNTIFS('Test Cases'!$A$2:$A$1513,{"TC_WD_001","TC_WD_002","TC_WD_003","TC_WD_004","TC_WD_005","TC_WD_026","TC_WD_027","TC_WD_028","TC_WD_029"},'Test Cases'!$J$2:$J$1513,"Fail"))</f>
        <v>4</v>
      </c>
      <c r="J127" s="10">
        <f>SUMPRODUCT(COUNTIFS('Test Cases'!$A$2:$A$1513,{"TC_WD_001","TC_WD_002","TC_WD_003","TC_WD_004","TC_WD_005","TC_WD_026","TC_WD_027","TC_WD_028","TC_WD_029"},'Test Cases'!$J$2:$J$1513,"Blocked"))</f>
        <v>0</v>
      </c>
      <c r="K127" s="10" t="str">
        <f t="shared" si="3"/>
        <v>Fail</v>
      </c>
      <c r="L127" s="9" t="s">
        <v>2508</v>
      </c>
    </row>
    <row r="128" spans="1:12" ht="29" x14ac:dyDescent="0.35">
      <c r="A128" s="10" t="s">
        <v>301</v>
      </c>
      <c r="B128" s="10" t="s">
        <v>301</v>
      </c>
      <c r="C128" s="9" t="s">
        <v>2381</v>
      </c>
      <c r="D128" s="9" t="s">
        <v>2509</v>
      </c>
      <c r="E128" s="10" t="s">
        <v>55</v>
      </c>
      <c r="F128" s="9" t="s">
        <v>2510</v>
      </c>
      <c r="G128" s="10">
        <f>SUMPRODUCT(COUNTIF('Test Cases'!$A$2:$A$1513,{"TC_FT_001","TC_FT_002","TC_FT_003","TC_FT_004","TC_FT_005","TC_FT_025","TC_FT_026","TC_FT_027","TC_FT_028"}))</f>
        <v>9</v>
      </c>
      <c r="H128" s="10">
        <f>SUMPRODUCT(COUNTIFS('Test Cases'!$A$2:$A$1513,{"TC_FT_001","TC_FT_002","TC_FT_003","TC_FT_004","TC_FT_005","TC_FT_025","TC_FT_026","TC_FT_027","TC_FT_028"},'Test Cases'!$J$2:$J$1513,"Pass"))</f>
        <v>1</v>
      </c>
      <c r="I128" s="10">
        <f>SUMPRODUCT(COUNTIFS('Test Cases'!$A$2:$A$1513,{"TC_FT_001","TC_FT_002","TC_FT_003","TC_FT_004","TC_FT_005","TC_FT_025","TC_FT_026","TC_FT_027","TC_FT_028"},'Test Cases'!$J$2:$J$1513,"Fail"))</f>
        <v>8</v>
      </c>
      <c r="J128" s="10">
        <f>SUMPRODUCT(COUNTIFS('Test Cases'!$A$2:$A$1513,{"TC_FT_001","TC_FT_002","TC_FT_003","TC_FT_004","TC_FT_005","TC_FT_025","TC_FT_026","TC_FT_027","TC_FT_028"},'Test Cases'!$J$2:$J$1513,"Blocked"))</f>
        <v>0</v>
      </c>
      <c r="K128" s="10" t="str">
        <f t="shared" si="3"/>
        <v>Fail</v>
      </c>
      <c r="L128" s="9" t="s">
        <v>2402</v>
      </c>
    </row>
    <row r="129" spans="1:12" ht="29" x14ac:dyDescent="0.35">
      <c r="A129" s="10" t="s">
        <v>331</v>
      </c>
      <c r="B129" s="10" t="s">
        <v>331</v>
      </c>
      <c r="C129" s="9" t="s">
        <v>2408</v>
      </c>
      <c r="D129" s="9" t="s">
        <v>2511</v>
      </c>
      <c r="E129" s="10" t="s">
        <v>55</v>
      </c>
      <c r="F129" s="9" t="s">
        <v>2512</v>
      </c>
      <c r="G129" s="10">
        <f>SUMPRODUCT(COUNTIF('Test Cases'!$A$2:$A$1513,{"TC_BE_001","TC_BE_002","TC_BE_003","TC_BE_004","TC_BE_005","TC_BE_006","TC_BE_007"}))</f>
        <v>7</v>
      </c>
      <c r="H129" s="10">
        <f>SUMPRODUCT(COUNTIFS('Test Cases'!$A$2:$A$1513,{"TC_BE_001","TC_BE_002","TC_BE_003","TC_BE_004","TC_BE_005","TC_BE_006","TC_BE_007"},'Test Cases'!$J$2:$J$1513,"Pass"))</f>
        <v>0</v>
      </c>
      <c r="I129" s="10">
        <f>SUMPRODUCT(COUNTIFS('Test Cases'!$A$2:$A$1513,{"TC_BE_001","TC_BE_002","TC_BE_003","TC_BE_004","TC_BE_005","TC_BE_006","TC_BE_007"},'Test Cases'!$J$2:$J$1513,"Fail"))</f>
        <v>2</v>
      </c>
      <c r="J129" s="10">
        <f>SUMPRODUCT(COUNTIFS('Test Cases'!$A$2:$A$1513,{"TC_BE_001","TC_BE_002","TC_BE_003","TC_BE_004","TC_BE_005","TC_BE_006","TC_BE_007"},'Test Cases'!$J$2:$J$1513,"Blocked"))</f>
        <v>5</v>
      </c>
      <c r="K129" s="10" t="str">
        <f t="shared" si="3"/>
        <v>Fail</v>
      </c>
      <c r="L129" s="9" t="s">
        <v>2411</v>
      </c>
    </row>
    <row r="130" spans="1:12" ht="29" x14ac:dyDescent="0.35">
      <c r="A130" s="10" t="s">
        <v>355</v>
      </c>
      <c r="B130" s="10" t="s">
        <v>355</v>
      </c>
      <c r="C130" s="9" t="s">
        <v>2418</v>
      </c>
      <c r="D130" s="9" t="s">
        <v>2513</v>
      </c>
      <c r="E130" s="10" t="s">
        <v>55</v>
      </c>
      <c r="F130" s="9" t="s">
        <v>2514</v>
      </c>
      <c r="G130" s="10">
        <f>SUMPRODUCT(COUNTIF('Test Cases'!$A$2:$A$1513,{"TC_MS_001","TC_MS_002","TC_MS_003","TC_MS_004","TC_MS_005","TC_MS_006","TC_MS_007","TC_MS_008","TC_MS_009","TC_MS_010","TC_MS_011","TC_MS_012","TC_MS_013","TC_MS_014"}))</f>
        <v>14</v>
      </c>
      <c r="H130" s="10">
        <f>SUMPRODUCT(COUNTIFS('Test Cases'!$A$2:$A$1513,{"TC_MS_001","TC_MS_002","TC_MS_003","TC_MS_004","TC_MS_005","TC_MS_006","TC_MS_007","TC_MS_008","TC_MS_009","TC_MS_010","TC_MS_011","TC_MS_012","TC_MS_013","TC_MS_014"},'Test Cases'!$J$2:$J$1513,"Pass"))</f>
        <v>0</v>
      </c>
      <c r="I130" s="10">
        <f>SUMPRODUCT(COUNTIFS('Test Cases'!$A$2:$A$1513,{"TC_MS_001","TC_MS_002","TC_MS_003","TC_MS_004","TC_MS_005","TC_MS_006","TC_MS_007","TC_MS_008","TC_MS_009","TC_MS_010","TC_MS_011","TC_MS_012","TC_MS_013","TC_MS_014"},'Test Cases'!$J$2:$J$1513,"Fail"))</f>
        <v>9</v>
      </c>
      <c r="J130" s="10">
        <f>SUMPRODUCT(COUNTIFS('Test Cases'!$A$2:$A$1513,{"TC_MS_001","TC_MS_002","TC_MS_003","TC_MS_004","TC_MS_005","TC_MS_006","TC_MS_007","TC_MS_008","TC_MS_009","TC_MS_010","TC_MS_011","TC_MS_012","TC_MS_013","TC_MS_014"},'Test Cases'!$J$2:$J$1513,"Blocked"))</f>
        <v>5</v>
      </c>
      <c r="K130" s="10" t="str">
        <f t="shared" ref="K130:K161" si="4">IF(G130=0,"Not covered",IF(I130&gt;0,"Fail",IF(J130&gt;0,"Blocked",IF(H130=G130,"Pass","Partially executed"))))</f>
        <v>Fail</v>
      </c>
      <c r="L130" s="9" t="s">
        <v>2423</v>
      </c>
    </row>
    <row r="131" spans="1:12" ht="29" x14ac:dyDescent="0.35">
      <c r="A131" s="10" t="s">
        <v>370</v>
      </c>
      <c r="B131" s="10" t="s">
        <v>370</v>
      </c>
      <c r="C131" s="9" t="s">
        <v>2428</v>
      </c>
      <c r="D131" s="9" t="s">
        <v>2515</v>
      </c>
      <c r="E131" s="10" t="s">
        <v>55</v>
      </c>
      <c r="F131" s="9" t="s">
        <v>2516</v>
      </c>
      <c r="G131" s="10">
        <f>SUMPRODUCT(COUNTIF('Test Cases'!$A$2:$A$1513,{"TC_CS_001","TC_CS_002","TC_CS_003","TC_CS_004","TC_CS_011","TC_CS_012","TC_CS_013","TC_CS_014","TC_CS_025","TC_CS_026","TC_CS_027"}))</f>
        <v>11</v>
      </c>
      <c r="H131" s="10">
        <f>SUMPRODUCT(COUNTIFS('Test Cases'!$A$2:$A$1513,{"TC_CS_001","TC_CS_002","TC_CS_003","TC_CS_004","TC_CS_011","TC_CS_012","TC_CS_013","TC_CS_014","TC_CS_025","TC_CS_026","TC_CS_027"},'Test Cases'!$J$2:$J$1513,"Pass"))</f>
        <v>2</v>
      </c>
      <c r="I131" s="10">
        <f>SUMPRODUCT(COUNTIFS('Test Cases'!$A$2:$A$1513,{"TC_CS_001","TC_CS_002","TC_CS_003","TC_CS_004","TC_CS_011","TC_CS_012","TC_CS_013","TC_CS_014","TC_CS_025","TC_CS_026","TC_CS_027"},'Test Cases'!$J$2:$J$1513,"Fail"))</f>
        <v>9</v>
      </c>
      <c r="J131" s="10">
        <f>SUMPRODUCT(COUNTIFS('Test Cases'!$A$2:$A$1513,{"TC_CS_001","TC_CS_002","TC_CS_003","TC_CS_004","TC_CS_011","TC_CS_012","TC_CS_013","TC_CS_014","TC_CS_025","TC_CS_026","TC_CS_027"},'Test Cases'!$J$2:$J$1513,"Blocked"))</f>
        <v>0</v>
      </c>
      <c r="K131" s="10" t="str">
        <f t="shared" si="4"/>
        <v>Fail</v>
      </c>
      <c r="L131" s="9" t="s">
        <v>2517</v>
      </c>
    </row>
    <row r="132" spans="1:12" ht="29" x14ac:dyDescent="0.35">
      <c r="A132" s="10" t="s">
        <v>394</v>
      </c>
      <c r="B132" s="10" t="s">
        <v>394</v>
      </c>
      <c r="C132" s="9" t="s">
        <v>2454</v>
      </c>
      <c r="D132" s="9" t="s">
        <v>2518</v>
      </c>
      <c r="E132" s="10" t="s">
        <v>55</v>
      </c>
      <c r="F132" s="9" t="s">
        <v>2519</v>
      </c>
      <c r="G132" s="10">
        <f>SUMPRODUCT(COUNTIF('Test Cases'!$A$2:$A$1513,{"TC_CP_001","TC_CP_002","TC_CP_003","TC_CP_018","TC_CP_019","TC_CP_020","TC_CP_021","TC_CP_022"}))</f>
        <v>8</v>
      </c>
      <c r="H132" s="10">
        <f>SUMPRODUCT(COUNTIFS('Test Cases'!$A$2:$A$1513,{"TC_CP_001","TC_CP_002","TC_CP_003","TC_CP_018","TC_CP_019","TC_CP_020","TC_CP_021","TC_CP_022"},'Test Cases'!$J$2:$J$1513,"Pass"))</f>
        <v>8</v>
      </c>
      <c r="I132" s="10">
        <f>SUMPRODUCT(COUNTIFS('Test Cases'!$A$2:$A$1513,{"TC_CP_001","TC_CP_002","TC_CP_003","TC_CP_018","TC_CP_019","TC_CP_020","TC_CP_021","TC_CP_022"},'Test Cases'!$J$2:$J$1513,"Fail"))</f>
        <v>0</v>
      </c>
      <c r="J132" s="10">
        <f>SUMPRODUCT(COUNTIFS('Test Cases'!$A$2:$A$1513,{"TC_CP_001","TC_CP_002","TC_CP_003","TC_CP_018","TC_CP_019","TC_CP_020","TC_CP_021","TC_CP_022"},'Test Cases'!$J$2:$J$1513,"Blocked"))</f>
        <v>0</v>
      </c>
      <c r="K132" s="10" t="str">
        <f t="shared" si="4"/>
        <v>Pass</v>
      </c>
      <c r="L132" s="9" t="s">
        <v>55</v>
      </c>
    </row>
  </sheetData>
  <conditionalFormatting sqref="K2:K232">
    <cfRule type="cellIs" dxfId="26" priority="2" operator="equal">
      <formula>"Pass"</formula>
    </cfRule>
    <cfRule type="cellIs" dxfId="25" priority="3" operator="equal">
      <formula>"Fail"</formula>
    </cfRule>
    <cfRule type="cellIs" dxfId="24" priority="4" operator="equal">
      <formula>"Blocked"</formula>
    </cfRule>
    <cfRule type="cellIs" dxfId="23" priority="5" operator="equal">
      <formula>"Not covered"</formula>
    </cfRule>
    <cfRule type="cellIs" dxfId="22" priority="6" operator="equal">
      <formula>"Partially executed"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2"/>
  <sheetViews>
    <sheetView zoomScale="66" zoomScaleNormal="100" workbookViewId="0">
      <pane xSplit="2" ySplit="1" topLeftCell="G2" activePane="bottomRight" state="frozen"/>
      <selection pane="topRight" activeCell="C1" sqref="C1"/>
      <selection pane="bottomLeft" activeCell="A2" sqref="A2"/>
      <selection pane="bottomRight" activeCell="K2" sqref="K2"/>
    </sheetView>
  </sheetViews>
  <sheetFormatPr defaultColWidth="8.6328125" defaultRowHeight="14.5" x14ac:dyDescent="0.35"/>
  <cols>
    <col min="1" max="1" width="11" customWidth="1"/>
    <col min="2" max="2" width="46" customWidth="1"/>
    <col min="3" max="3" width="54" customWidth="1"/>
    <col min="4" max="4" width="36" customWidth="1"/>
    <col min="5" max="5" width="30" customWidth="1"/>
    <col min="6" max="6" width="46" customWidth="1"/>
    <col min="7" max="7" width="40" customWidth="1"/>
    <col min="8" max="8" width="46" customWidth="1"/>
    <col min="9" max="9" width="11" customWidth="1"/>
    <col min="10" max="10" width="12.6328125" customWidth="1"/>
    <col min="11" max="11" width="10" customWidth="1"/>
    <col min="12" max="12" width="40" customWidth="1"/>
    <col min="13" max="13" width="11" customWidth="1"/>
    <col min="14" max="14" width="17" customWidth="1"/>
    <col min="15" max="15" width="34" customWidth="1"/>
    <col min="16" max="16" width="40" customWidth="1"/>
  </cols>
  <sheetData>
    <row r="1" spans="1:16" s="26" customFormat="1" ht="35" x14ac:dyDescent="0.45">
      <c r="A1" s="25" t="s">
        <v>420</v>
      </c>
      <c r="B1" s="25" t="s">
        <v>2520</v>
      </c>
      <c r="C1" s="25" t="s">
        <v>422</v>
      </c>
      <c r="D1" s="25" t="s">
        <v>423</v>
      </c>
      <c r="E1" s="25" t="s">
        <v>2521</v>
      </c>
      <c r="F1" s="25" t="s">
        <v>2522</v>
      </c>
      <c r="G1" s="25" t="s">
        <v>2523</v>
      </c>
      <c r="H1" s="25" t="s">
        <v>427</v>
      </c>
      <c r="I1" s="25" t="s">
        <v>2524</v>
      </c>
      <c r="J1" s="25" t="s">
        <v>425</v>
      </c>
      <c r="K1" s="25" t="s">
        <v>428</v>
      </c>
      <c r="L1" s="25" t="s">
        <v>19</v>
      </c>
      <c r="M1" s="25" t="s">
        <v>2525</v>
      </c>
      <c r="N1" s="25" t="s">
        <v>2526</v>
      </c>
      <c r="O1" s="25" t="s">
        <v>2527</v>
      </c>
      <c r="P1" s="25" t="s">
        <v>2528</v>
      </c>
    </row>
    <row r="2" spans="1:16" ht="58" x14ac:dyDescent="0.35">
      <c r="A2" s="10" t="s">
        <v>2482</v>
      </c>
      <c r="B2" s="9" t="s">
        <v>2529</v>
      </c>
      <c r="C2" s="9" t="s">
        <v>2530</v>
      </c>
      <c r="D2" s="9" t="s">
        <v>443</v>
      </c>
      <c r="E2" s="9" t="s">
        <v>3104</v>
      </c>
      <c r="F2" s="9" t="s">
        <v>2531</v>
      </c>
      <c r="G2" s="9" t="s">
        <v>2532</v>
      </c>
      <c r="H2" s="9" t="s">
        <v>532</v>
      </c>
      <c r="I2" s="10" t="s">
        <v>2533</v>
      </c>
      <c r="J2" s="10" t="s">
        <v>435</v>
      </c>
      <c r="K2" s="10" t="s">
        <v>2534</v>
      </c>
      <c r="L2" s="9" t="s">
        <v>530</v>
      </c>
      <c r="M2" s="10" t="s">
        <v>439</v>
      </c>
      <c r="N2" s="9" t="s">
        <v>2535</v>
      </c>
      <c r="O2" s="9" t="s">
        <v>2536</v>
      </c>
      <c r="P2" s="9"/>
    </row>
    <row r="3" spans="1:16" ht="43.5" x14ac:dyDescent="0.35">
      <c r="A3" s="10" t="s">
        <v>2479</v>
      </c>
      <c r="B3" s="9" t="s">
        <v>2537</v>
      </c>
      <c r="C3" s="9" t="s">
        <v>2538</v>
      </c>
      <c r="D3" s="9" t="s">
        <v>2539</v>
      </c>
      <c r="E3" s="9" t="s">
        <v>3104</v>
      </c>
      <c r="F3" s="9" t="s">
        <v>2540</v>
      </c>
      <c r="G3" s="9" t="s">
        <v>2541</v>
      </c>
      <c r="H3" s="9" t="s">
        <v>563</v>
      </c>
      <c r="I3" s="10" t="s">
        <v>2533</v>
      </c>
      <c r="J3" s="10" t="s">
        <v>435</v>
      </c>
      <c r="K3" s="10" t="s">
        <v>2534</v>
      </c>
      <c r="L3" s="9" t="s">
        <v>561</v>
      </c>
      <c r="M3" s="10" t="s">
        <v>439</v>
      </c>
      <c r="N3" s="9" t="s">
        <v>2535</v>
      </c>
      <c r="O3" s="9" t="s">
        <v>2542</v>
      </c>
      <c r="P3" s="9"/>
    </row>
    <row r="4" spans="1:16" ht="72.5" x14ac:dyDescent="0.35">
      <c r="A4" s="10" t="s">
        <v>2213</v>
      </c>
      <c r="B4" s="9" t="s">
        <v>2543</v>
      </c>
      <c r="C4" s="9" t="s">
        <v>2544</v>
      </c>
      <c r="D4" s="9" t="s">
        <v>2545</v>
      </c>
      <c r="E4" s="9" t="s">
        <v>3104</v>
      </c>
      <c r="F4" s="9" t="s">
        <v>2546</v>
      </c>
      <c r="G4" s="9" t="s">
        <v>2547</v>
      </c>
      <c r="H4" s="9" t="s">
        <v>2548</v>
      </c>
      <c r="I4" s="10" t="s">
        <v>435</v>
      </c>
      <c r="J4" s="10" t="s">
        <v>435</v>
      </c>
      <c r="K4" s="10" t="s">
        <v>2534</v>
      </c>
      <c r="L4" s="9" t="s">
        <v>2549</v>
      </c>
      <c r="M4" s="10" t="s">
        <v>439</v>
      </c>
      <c r="N4" s="9" t="s">
        <v>2535</v>
      </c>
      <c r="O4" s="9" t="s">
        <v>2550</v>
      </c>
      <c r="P4" s="9" t="s">
        <v>2551</v>
      </c>
    </row>
    <row r="5" spans="1:16" ht="43.5" x14ac:dyDescent="0.35">
      <c r="A5" s="10" t="s">
        <v>2474</v>
      </c>
      <c r="B5" s="9" t="s">
        <v>2552</v>
      </c>
      <c r="C5" s="9" t="s">
        <v>2553</v>
      </c>
      <c r="D5" s="9" t="s">
        <v>544</v>
      </c>
      <c r="E5" s="9" t="s">
        <v>3104</v>
      </c>
      <c r="F5" s="9" t="s">
        <v>2554</v>
      </c>
      <c r="G5" s="9" t="s">
        <v>2555</v>
      </c>
      <c r="H5" s="9" t="s">
        <v>556</v>
      </c>
      <c r="I5" s="10" t="s">
        <v>435</v>
      </c>
      <c r="J5" s="10" t="s">
        <v>435</v>
      </c>
      <c r="K5" s="10" t="s">
        <v>2534</v>
      </c>
      <c r="L5" s="9" t="s">
        <v>546</v>
      </c>
      <c r="M5" s="10" t="s">
        <v>439</v>
      </c>
      <c r="N5" s="9" t="s">
        <v>2535</v>
      </c>
      <c r="O5" s="9" t="s">
        <v>2556</v>
      </c>
      <c r="P5" s="9"/>
    </row>
    <row r="6" spans="1:16" ht="72.5" x14ac:dyDescent="0.35">
      <c r="A6" s="10" t="s">
        <v>2557</v>
      </c>
      <c r="B6" s="9" t="s">
        <v>2558</v>
      </c>
      <c r="C6" s="9" t="s">
        <v>2559</v>
      </c>
      <c r="D6" s="9" t="s">
        <v>490</v>
      </c>
      <c r="E6" s="9" t="s">
        <v>3104</v>
      </c>
      <c r="F6" s="9" t="s">
        <v>2560</v>
      </c>
      <c r="G6" s="9" t="s">
        <v>2561</v>
      </c>
      <c r="H6" s="9" t="s">
        <v>2562</v>
      </c>
      <c r="I6" s="10" t="s">
        <v>484</v>
      </c>
      <c r="J6" s="10" t="s">
        <v>484</v>
      </c>
      <c r="K6" s="10" t="s">
        <v>2534</v>
      </c>
      <c r="L6" s="9" t="s">
        <v>2563</v>
      </c>
      <c r="M6" s="10" t="s">
        <v>439</v>
      </c>
      <c r="N6" s="9" t="s">
        <v>2535</v>
      </c>
      <c r="O6" s="9" t="s">
        <v>2564</v>
      </c>
      <c r="P6" s="9"/>
    </row>
    <row r="7" spans="1:16" ht="43.5" x14ac:dyDescent="0.35">
      <c r="A7" s="10" t="s">
        <v>2210</v>
      </c>
      <c r="B7" s="9" t="s">
        <v>2565</v>
      </c>
      <c r="C7" s="9" t="s">
        <v>2566</v>
      </c>
      <c r="D7" s="9" t="s">
        <v>443</v>
      </c>
      <c r="E7" s="9" t="s">
        <v>3104</v>
      </c>
      <c r="F7" s="9" t="s">
        <v>2567</v>
      </c>
      <c r="G7" s="9" t="s">
        <v>2568</v>
      </c>
      <c r="H7" s="9" t="s">
        <v>2569</v>
      </c>
      <c r="I7" s="10" t="s">
        <v>538</v>
      </c>
      <c r="J7" s="10" t="s">
        <v>538</v>
      </c>
      <c r="K7" s="10" t="s">
        <v>2534</v>
      </c>
      <c r="L7" s="9" t="s">
        <v>2570</v>
      </c>
      <c r="M7" s="10" t="s">
        <v>439</v>
      </c>
      <c r="N7" s="9" t="s">
        <v>2535</v>
      </c>
      <c r="O7" s="9" t="s">
        <v>2571</v>
      </c>
      <c r="P7" s="9"/>
    </row>
    <row r="8" spans="1:16" ht="43.5" x14ac:dyDescent="0.35">
      <c r="A8" s="10" t="s">
        <v>2572</v>
      </c>
      <c r="B8" s="9" t="s">
        <v>2573</v>
      </c>
      <c r="C8" s="9" t="s">
        <v>2574</v>
      </c>
      <c r="D8" s="9" t="s">
        <v>443</v>
      </c>
      <c r="E8" s="9" t="s">
        <v>3104</v>
      </c>
      <c r="F8" s="9" t="s">
        <v>2575</v>
      </c>
      <c r="G8" s="9" t="s">
        <v>2576</v>
      </c>
      <c r="H8" s="9" t="s">
        <v>526</v>
      </c>
      <c r="I8" s="10" t="s">
        <v>484</v>
      </c>
      <c r="J8" s="10" t="s">
        <v>538</v>
      </c>
      <c r="K8" s="10" t="s">
        <v>2534</v>
      </c>
      <c r="L8" s="9" t="s">
        <v>2577</v>
      </c>
      <c r="M8" s="10" t="s">
        <v>439</v>
      </c>
      <c r="N8" s="9" t="s">
        <v>2535</v>
      </c>
      <c r="O8" s="9" t="s">
        <v>2578</v>
      </c>
      <c r="P8" s="9"/>
    </row>
    <row r="9" spans="1:16" ht="72.5" x14ac:dyDescent="0.35">
      <c r="A9" s="10" t="s">
        <v>2274</v>
      </c>
      <c r="B9" s="9" t="s">
        <v>2579</v>
      </c>
      <c r="C9" s="9" t="s">
        <v>2580</v>
      </c>
      <c r="D9" s="9" t="s">
        <v>2581</v>
      </c>
      <c r="E9" s="9" t="s">
        <v>3104</v>
      </c>
      <c r="F9" s="9" t="s">
        <v>2582</v>
      </c>
      <c r="G9" s="9" t="s">
        <v>2583</v>
      </c>
      <c r="H9" s="9" t="s">
        <v>2584</v>
      </c>
      <c r="I9" s="10" t="s">
        <v>435</v>
      </c>
      <c r="J9" s="10" t="s">
        <v>435</v>
      </c>
      <c r="K9" s="10" t="s">
        <v>2534</v>
      </c>
      <c r="L9" s="9" t="s">
        <v>2585</v>
      </c>
      <c r="M9" s="10" t="s">
        <v>439</v>
      </c>
      <c r="N9" s="9" t="s">
        <v>2535</v>
      </c>
      <c r="O9" s="9" t="s">
        <v>2586</v>
      </c>
      <c r="P9" s="9"/>
    </row>
    <row r="10" spans="1:16" ht="58" x14ac:dyDescent="0.35">
      <c r="A10" s="10" t="s">
        <v>2488</v>
      </c>
      <c r="B10" s="9" t="s">
        <v>2587</v>
      </c>
      <c r="C10" s="9" t="s">
        <v>2588</v>
      </c>
      <c r="D10" s="9" t="s">
        <v>2581</v>
      </c>
      <c r="E10" s="9" t="s">
        <v>3104</v>
      </c>
      <c r="F10" s="9" t="s">
        <v>2589</v>
      </c>
      <c r="G10" s="9" t="s">
        <v>2590</v>
      </c>
      <c r="H10" s="9" t="s">
        <v>2591</v>
      </c>
      <c r="I10" s="10" t="s">
        <v>484</v>
      </c>
      <c r="J10" s="10" t="s">
        <v>484</v>
      </c>
      <c r="K10" s="10" t="s">
        <v>2534</v>
      </c>
      <c r="L10" s="9" t="s">
        <v>2592</v>
      </c>
      <c r="M10" s="10" t="s">
        <v>439</v>
      </c>
      <c r="N10" s="9" t="s">
        <v>2535</v>
      </c>
      <c r="O10" s="9" t="s">
        <v>2593</v>
      </c>
      <c r="P10" s="9"/>
    </row>
    <row r="11" spans="1:16" ht="58" x14ac:dyDescent="0.35">
      <c r="A11" s="10" t="s">
        <v>2485</v>
      </c>
      <c r="B11" s="9" t="s">
        <v>2594</v>
      </c>
      <c r="C11" s="9" t="s">
        <v>2595</v>
      </c>
      <c r="D11" s="9" t="s">
        <v>2581</v>
      </c>
      <c r="E11" s="9" t="s">
        <v>3104</v>
      </c>
      <c r="F11" s="9" t="s">
        <v>2596</v>
      </c>
      <c r="G11" s="9" t="s">
        <v>2597</v>
      </c>
      <c r="H11" s="9" t="s">
        <v>2598</v>
      </c>
      <c r="I11" s="10" t="s">
        <v>484</v>
      </c>
      <c r="J11" s="10" t="s">
        <v>484</v>
      </c>
      <c r="K11" s="10" t="s">
        <v>2534</v>
      </c>
      <c r="L11" s="9" t="s">
        <v>2599</v>
      </c>
      <c r="M11" s="10" t="s">
        <v>439</v>
      </c>
      <c r="N11" s="9" t="s">
        <v>2535</v>
      </c>
      <c r="O11" s="9" t="s">
        <v>2600</v>
      </c>
      <c r="P11" s="9"/>
    </row>
    <row r="12" spans="1:16" ht="43.5" x14ac:dyDescent="0.35">
      <c r="A12" s="10" t="s">
        <v>2276</v>
      </c>
      <c r="B12" s="9" t="s">
        <v>2601</v>
      </c>
      <c r="C12" s="9" t="s">
        <v>2602</v>
      </c>
      <c r="D12" s="9" t="s">
        <v>2581</v>
      </c>
      <c r="E12" s="9" t="s">
        <v>3104</v>
      </c>
      <c r="F12" s="9" t="s">
        <v>2603</v>
      </c>
      <c r="G12" s="9" t="s">
        <v>2604</v>
      </c>
      <c r="H12" s="9" t="s">
        <v>635</v>
      </c>
      <c r="I12" s="10" t="s">
        <v>538</v>
      </c>
      <c r="J12" s="10" t="s">
        <v>538</v>
      </c>
      <c r="K12" s="10" t="s">
        <v>2534</v>
      </c>
      <c r="L12" s="9" t="s">
        <v>2605</v>
      </c>
      <c r="M12" s="10" t="s">
        <v>439</v>
      </c>
      <c r="N12" s="9" t="s">
        <v>2535</v>
      </c>
      <c r="O12" s="9" t="s">
        <v>2606</v>
      </c>
      <c r="P12" s="9"/>
    </row>
    <row r="13" spans="1:16" ht="43.5" x14ac:dyDescent="0.35">
      <c r="A13" s="10" t="s">
        <v>2607</v>
      </c>
      <c r="B13" s="9" t="s">
        <v>2608</v>
      </c>
      <c r="C13" s="9" t="s">
        <v>2609</v>
      </c>
      <c r="D13" s="9" t="s">
        <v>2581</v>
      </c>
      <c r="E13" s="9" t="s">
        <v>3104</v>
      </c>
      <c r="F13" s="9" t="s">
        <v>2610</v>
      </c>
      <c r="G13" s="9" t="s">
        <v>2611</v>
      </c>
      <c r="H13" s="9" t="s">
        <v>2612</v>
      </c>
      <c r="I13" s="10" t="s">
        <v>484</v>
      </c>
      <c r="J13" s="10" t="s">
        <v>538</v>
      </c>
      <c r="K13" s="10" t="s">
        <v>2534</v>
      </c>
      <c r="L13" s="9" t="s">
        <v>2613</v>
      </c>
      <c r="M13" s="10" t="s">
        <v>439</v>
      </c>
      <c r="N13" s="9" t="s">
        <v>2535</v>
      </c>
      <c r="O13" s="9" t="s">
        <v>2614</v>
      </c>
      <c r="P13" s="9"/>
    </row>
    <row r="14" spans="1:16" ht="58" x14ac:dyDescent="0.35">
      <c r="A14" s="10" t="s">
        <v>2494</v>
      </c>
      <c r="B14" s="9" t="s">
        <v>2615</v>
      </c>
      <c r="C14" s="9" t="s">
        <v>2616</v>
      </c>
      <c r="D14" s="9" t="s">
        <v>2617</v>
      </c>
      <c r="E14" s="9" t="s">
        <v>3104</v>
      </c>
      <c r="F14" s="9" t="s">
        <v>2618</v>
      </c>
      <c r="G14" s="9" t="s">
        <v>2619</v>
      </c>
      <c r="H14" s="9" t="s">
        <v>915</v>
      </c>
      <c r="I14" s="10" t="s">
        <v>484</v>
      </c>
      <c r="J14" s="10" t="s">
        <v>484</v>
      </c>
      <c r="K14" s="10" t="s">
        <v>2534</v>
      </c>
      <c r="L14" s="9" t="s">
        <v>2620</v>
      </c>
      <c r="M14" s="10" t="s">
        <v>439</v>
      </c>
      <c r="N14" s="9" t="s">
        <v>2535</v>
      </c>
      <c r="O14" s="9" t="s">
        <v>2621</v>
      </c>
      <c r="P14" s="9" t="s">
        <v>2622</v>
      </c>
    </row>
    <row r="15" spans="1:16" ht="43.5" x14ac:dyDescent="0.35">
      <c r="A15" s="10" t="s">
        <v>2623</v>
      </c>
      <c r="B15" s="9" t="s">
        <v>2624</v>
      </c>
      <c r="C15" s="9" t="s">
        <v>2625</v>
      </c>
      <c r="D15" s="9" t="s">
        <v>2617</v>
      </c>
      <c r="E15" s="9" t="s">
        <v>3104</v>
      </c>
      <c r="F15" s="9" t="s">
        <v>2626</v>
      </c>
      <c r="G15" s="9" t="s">
        <v>2627</v>
      </c>
      <c r="H15" s="9" t="s">
        <v>2628</v>
      </c>
      <c r="I15" s="10" t="s">
        <v>484</v>
      </c>
      <c r="J15" s="10" t="s">
        <v>484</v>
      </c>
      <c r="K15" s="10" t="s">
        <v>2534</v>
      </c>
      <c r="L15" s="9" t="s">
        <v>2629</v>
      </c>
      <c r="M15" s="10" t="s">
        <v>439</v>
      </c>
      <c r="N15" s="9" t="s">
        <v>2535</v>
      </c>
      <c r="O15" s="9" t="s">
        <v>2630</v>
      </c>
      <c r="P15" s="9"/>
    </row>
    <row r="16" spans="1:16" ht="58" x14ac:dyDescent="0.35">
      <c r="A16" s="10" t="s">
        <v>2631</v>
      </c>
      <c r="B16" s="9" t="s">
        <v>2632</v>
      </c>
      <c r="C16" s="9" t="s">
        <v>2633</v>
      </c>
      <c r="D16" s="9" t="s">
        <v>2617</v>
      </c>
      <c r="E16" s="9" t="s">
        <v>3104</v>
      </c>
      <c r="F16" s="9" t="s">
        <v>2634</v>
      </c>
      <c r="G16" s="9" t="s">
        <v>2635</v>
      </c>
      <c r="H16" s="9" t="s">
        <v>2636</v>
      </c>
      <c r="I16" s="10" t="s">
        <v>484</v>
      </c>
      <c r="J16" s="10" t="s">
        <v>484</v>
      </c>
      <c r="K16" s="10" t="s">
        <v>2534</v>
      </c>
      <c r="L16" s="9" t="s">
        <v>2637</v>
      </c>
      <c r="M16" s="10" t="s">
        <v>439</v>
      </c>
      <c r="N16" s="9" t="s">
        <v>2535</v>
      </c>
      <c r="O16" s="9" t="s">
        <v>2638</v>
      </c>
      <c r="P16" s="9"/>
    </row>
    <row r="17" spans="1:16" ht="58" x14ac:dyDescent="0.35">
      <c r="A17" s="10" t="s">
        <v>2639</v>
      </c>
      <c r="B17" s="9" t="s">
        <v>2640</v>
      </c>
      <c r="C17" s="9" t="s">
        <v>2641</v>
      </c>
      <c r="D17" s="9" t="s">
        <v>2617</v>
      </c>
      <c r="E17" s="9" t="s">
        <v>3104</v>
      </c>
      <c r="F17" s="9" t="s">
        <v>2642</v>
      </c>
      <c r="G17" s="9" t="s">
        <v>2643</v>
      </c>
      <c r="H17" s="9" t="s">
        <v>2644</v>
      </c>
      <c r="I17" s="10" t="s">
        <v>484</v>
      </c>
      <c r="J17" s="10" t="s">
        <v>484</v>
      </c>
      <c r="K17" s="10" t="s">
        <v>2534</v>
      </c>
      <c r="L17" s="9" t="s">
        <v>2645</v>
      </c>
      <c r="M17" s="10" t="s">
        <v>439</v>
      </c>
      <c r="N17" s="9" t="s">
        <v>2535</v>
      </c>
      <c r="O17" s="9" t="s">
        <v>2646</v>
      </c>
      <c r="P17" s="9"/>
    </row>
    <row r="18" spans="1:16" ht="58" x14ac:dyDescent="0.35">
      <c r="A18" s="10" t="s">
        <v>2647</v>
      </c>
      <c r="B18" s="9" t="s">
        <v>2648</v>
      </c>
      <c r="C18" s="9" t="s">
        <v>2649</v>
      </c>
      <c r="D18" s="9" t="s">
        <v>2617</v>
      </c>
      <c r="E18" s="9" t="s">
        <v>3104</v>
      </c>
      <c r="F18" s="9" t="s">
        <v>2650</v>
      </c>
      <c r="G18" s="9" t="s">
        <v>2651</v>
      </c>
      <c r="H18" s="9" t="s">
        <v>2652</v>
      </c>
      <c r="I18" s="10" t="s">
        <v>484</v>
      </c>
      <c r="J18" s="10" t="s">
        <v>484</v>
      </c>
      <c r="K18" s="10" t="s">
        <v>2534</v>
      </c>
      <c r="L18" s="9" t="s">
        <v>2653</v>
      </c>
      <c r="M18" s="10" t="s">
        <v>439</v>
      </c>
      <c r="N18" s="9" t="s">
        <v>2535</v>
      </c>
      <c r="O18" s="9" t="s">
        <v>2654</v>
      </c>
      <c r="P18" s="9"/>
    </row>
    <row r="19" spans="1:16" ht="58" x14ac:dyDescent="0.35">
      <c r="A19" s="10" t="s">
        <v>2655</v>
      </c>
      <c r="B19" s="9" t="s">
        <v>2656</v>
      </c>
      <c r="C19" s="9" t="s">
        <v>2657</v>
      </c>
      <c r="D19" s="9" t="s">
        <v>2617</v>
      </c>
      <c r="E19" s="9" t="s">
        <v>3104</v>
      </c>
      <c r="F19" s="9" t="s">
        <v>2658</v>
      </c>
      <c r="G19" s="9" t="s">
        <v>2659</v>
      </c>
      <c r="H19" s="9" t="s">
        <v>2660</v>
      </c>
      <c r="I19" s="10" t="s">
        <v>484</v>
      </c>
      <c r="J19" s="10" t="s">
        <v>484</v>
      </c>
      <c r="K19" s="10" t="s">
        <v>2534</v>
      </c>
      <c r="L19" s="9" t="s">
        <v>2661</v>
      </c>
      <c r="M19" s="10" t="s">
        <v>439</v>
      </c>
      <c r="N19" s="9" t="s">
        <v>2535</v>
      </c>
      <c r="O19" s="9" t="s">
        <v>2662</v>
      </c>
      <c r="P19" s="9"/>
    </row>
    <row r="20" spans="1:16" ht="58" x14ac:dyDescent="0.35">
      <c r="A20" s="10" t="s">
        <v>2663</v>
      </c>
      <c r="B20" s="9" t="s">
        <v>2664</v>
      </c>
      <c r="C20" s="9" t="s">
        <v>2665</v>
      </c>
      <c r="D20" s="9" t="s">
        <v>2666</v>
      </c>
      <c r="E20" s="9" t="s">
        <v>3104</v>
      </c>
      <c r="F20" s="9" t="s">
        <v>2667</v>
      </c>
      <c r="G20" s="9" t="s">
        <v>2668</v>
      </c>
      <c r="H20" s="9" t="s">
        <v>2669</v>
      </c>
      <c r="I20" s="10" t="s">
        <v>435</v>
      </c>
      <c r="J20" s="10" t="s">
        <v>435</v>
      </c>
      <c r="K20" s="10" t="s">
        <v>2534</v>
      </c>
      <c r="L20" s="9" t="s">
        <v>2670</v>
      </c>
      <c r="M20" s="10" t="s">
        <v>439</v>
      </c>
      <c r="N20" s="9" t="s">
        <v>2535</v>
      </c>
      <c r="O20" s="9" t="s">
        <v>2671</v>
      </c>
      <c r="P20" s="9" t="s">
        <v>2672</v>
      </c>
    </row>
    <row r="21" spans="1:16" ht="58" x14ac:dyDescent="0.35">
      <c r="A21" s="10" t="s">
        <v>2673</v>
      </c>
      <c r="B21" s="9" t="s">
        <v>2674</v>
      </c>
      <c r="C21" s="9" t="s">
        <v>2675</v>
      </c>
      <c r="D21" s="9" t="s">
        <v>2617</v>
      </c>
      <c r="E21" s="9" t="s">
        <v>3104</v>
      </c>
      <c r="F21" s="9" t="s">
        <v>2676</v>
      </c>
      <c r="G21" s="9" t="s">
        <v>2677</v>
      </c>
      <c r="H21" s="9" t="s">
        <v>2678</v>
      </c>
      <c r="I21" s="10" t="s">
        <v>435</v>
      </c>
      <c r="J21" s="10" t="s">
        <v>435</v>
      </c>
      <c r="K21" s="10" t="s">
        <v>2534</v>
      </c>
      <c r="L21" s="9" t="s">
        <v>2679</v>
      </c>
      <c r="M21" s="10" t="s">
        <v>439</v>
      </c>
      <c r="N21" s="9" t="s">
        <v>2535</v>
      </c>
      <c r="O21" s="9" t="s">
        <v>2680</v>
      </c>
      <c r="P21" s="9"/>
    </row>
    <row r="22" spans="1:16" ht="43.5" x14ac:dyDescent="0.35">
      <c r="A22" s="10" t="s">
        <v>2681</v>
      </c>
      <c r="B22" s="9" t="s">
        <v>2682</v>
      </c>
      <c r="C22" s="9" t="s">
        <v>2683</v>
      </c>
      <c r="D22" s="9" t="s">
        <v>2617</v>
      </c>
      <c r="E22" s="9" t="s">
        <v>3104</v>
      </c>
      <c r="F22" s="9" t="s">
        <v>2684</v>
      </c>
      <c r="G22" s="9" t="s">
        <v>2685</v>
      </c>
      <c r="H22" s="9" t="s">
        <v>2686</v>
      </c>
      <c r="I22" s="10" t="s">
        <v>538</v>
      </c>
      <c r="J22" s="10" t="s">
        <v>538</v>
      </c>
      <c r="K22" s="10" t="s">
        <v>2534</v>
      </c>
      <c r="L22" s="9" t="s">
        <v>2687</v>
      </c>
      <c r="M22" s="10" t="s">
        <v>439</v>
      </c>
      <c r="N22" s="9" t="s">
        <v>2535</v>
      </c>
      <c r="O22" s="9" t="s">
        <v>2688</v>
      </c>
      <c r="P22" s="9"/>
    </row>
    <row r="23" spans="1:16" ht="58" x14ac:dyDescent="0.35">
      <c r="A23" s="10" t="s">
        <v>2497</v>
      </c>
      <c r="B23" s="9" t="s">
        <v>2689</v>
      </c>
      <c r="C23" s="9" t="s">
        <v>2690</v>
      </c>
      <c r="D23" s="9" t="s">
        <v>2691</v>
      </c>
      <c r="E23" s="9" t="s">
        <v>3104</v>
      </c>
      <c r="F23" s="9" t="s">
        <v>2692</v>
      </c>
      <c r="G23" s="9" t="s">
        <v>2693</v>
      </c>
      <c r="H23" s="9" t="s">
        <v>1071</v>
      </c>
      <c r="I23" s="10" t="s">
        <v>484</v>
      </c>
      <c r="J23" s="10" t="s">
        <v>484</v>
      </c>
      <c r="K23" s="10" t="s">
        <v>2534</v>
      </c>
      <c r="L23" s="9" t="s">
        <v>867</v>
      </c>
      <c r="M23" s="10" t="s">
        <v>439</v>
      </c>
      <c r="N23" s="9" t="s">
        <v>2535</v>
      </c>
      <c r="O23" s="9" t="s">
        <v>2694</v>
      </c>
      <c r="P23" s="9" t="s">
        <v>2695</v>
      </c>
    </row>
    <row r="24" spans="1:16" ht="58" x14ac:dyDescent="0.35">
      <c r="A24" s="10" t="s">
        <v>2696</v>
      </c>
      <c r="B24" s="9" t="s">
        <v>2697</v>
      </c>
      <c r="C24" s="9" t="s">
        <v>2698</v>
      </c>
      <c r="D24" s="9" t="s">
        <v>2699</v>
      </c>
      <c r="E24" s="9" t="s">
        <v>3104</v>
      </c>
      <c r="F24" s="9" t="s">
        <v>2700</v>
      </c>
      <c r="G24" s="9" t="s">
        <v>2701</v>
      </c>
      <c r="H24" s="9" t="s">
        <v>1201</v>
      </c>
      <c r="I24" s="10" t="s">
        <v>538</v>
      </c>
      <c r="J24" s="10" t="s">
        <v>538</v>
      </c>
      <c r="K24" s="10" t="s">
        <v>2534</v>
      </c>
      <c r="L24" s="9" t="s">
        <v>2702</v>
      </c>
      <c r="M24" s="10" t="s">
        <v>439</v>
      </c>
      <c r="N24" s="9" t="s">
        <v>2535</v>
      </c>
      <c r="O24" s="9" t="s">
        <v>2703</v>
      </c>
      <c r="P24" s="9"/>
    </row>
    <row r="25" spans="1:16" ht="58" x14ac:dyDescent="0.35">
      <c r="A25" s="10" t="s">
        <v>2704</v>
      </c>
      <c r="B25" s="9" t="s">
        <v>2705</v>
      </c>
      <c r="C25" s="9" t="s">
        <v>2706</v>
      </c>
      <c r="D25" s="9" t="s">
        <v>2707</v>
      </c>
      <c r="E25" s="9" t="s">
        <v>3104</v>
      </c>
      <c r="F25" s="9" t="s">
        <v>2708</v>
      </c>
      <c r="G25" s="9" t="s">
        <v>2709</v>
      </c>
      <c r="H25" s="9" t="s">
        <v>1247</v>
      </c>
      <c r="I25" s="10" t="s">
        <v>538</v>
      </c>
      <c r="J25" s="10" t="s">
        <v>538</v>
      </c>
      <c r="K25" s="10" t="s">
        <v>2534</v>
      </c>
      <c r="L25" s="9" t="s">
        <v>2710</v>
      </c>
      <c r="M25" s="10" t="s">
        <v>439</v>
      </c>
      <c r="N25" s="9" t="s">
        <v>2535</v>
      </c>
      <c r="O25" s="9" t="s">
        <v>2711</v>
      </c>
      <c r="P25" s="9"/>
    </row>
    <row r="26" spans="1:16" ht="43.5" x14ac:dyDescent="0.35">
      <c r="A26" s="10" t="s">
        <v>2712</v>
      </c>
      <c r="B26" s="9" t="s">
        <v>2713</v>
      </c>
      <c r="C26" s="9" t="s">
        <v>2714</v>
      </c>
      <c r="D26" s="9" t="s">
        <v>2699</v>
      </c>
      <c r="E26" s="9" t="s">
        <v>3104</v>
      </c>
      <c r="F26" s="9" t="s">
        <v>2715</v>
      </c>
      <c r="G26" s="9" t="s">
        <v>2716</v>
      </c>
      <c r="H26" s="9" t="s">
        <v>1265</v>
      </c>
      <c r="I26" s="10" t="s">
        <v>538</v>
      </c>
      <c r="J26" s="10" t="s">
        <v>538</v>
      </c>
      <c r="K26" s="10" t="s">
        <v>2534</v>
      </c>
      <c r="L26" s="9" t="s">
        <v>2717</v>
      </c>
      <c r="M26" s="10" t="s">
        <v>439</v>
      </c>
      <c r="N26" s="9" t="s">
        <v>2535</v>
      </c>
      <c r="O26" s="9" t="s">
        <v>2718</v>
      </c>
      <c r="P26" s="9"/>
    </row>
    <row r="27" spans="1:16" ht="43.5" x14ac:dyDescent="0.35">
      <c r="A27" s="10" t="s">
        <v>2332</v>
      </c>
      <c r="B27" s="9" t="s">
        <v>2719</v>
      </c>
      <c r="C27" s="9" t="s">
        <v>2720</v>
      </c>
      <c r="D27" s="9" t="s">
        <v>2721</v>
      </c>
      <c r="E27" s="9" t="s">
        <v>3104</v>
      </c>
      <c r="F27" s="9" t="s">
        <v>2722</v>
      </c>
      <c r="G27" s="9" t="s">
        <v>2723</v>
      </c>
      <c r="H27" s="9" t="s">
        <v>1286</v>
      </c>
      <c r="I27" s="10" t="s">
        <v>435</v>
      </c>
      <c r="J27" s="10" t="s">
        <v>435</v>
      </c>
      <c r="K27" s="10" t="s">
        <v>2534</v>
      </c>
      <c r="L27" s="9" t="s">
        <v>1290</v>
      </c>
      <c r="M27" s="10" t="s">
        <v>439</v>
      </c>
      <c r="N27" s="9" t="s">
        <v>2535</v>
      </c>
      <c r="O27" s="9" t="s">
        <v>2724</v>
      </c>
      <c r="P27" s="9"/>
    </row>
    <row r="28" spans="1:16" ht="43.5" x14ac:dyDescent="0.35">
      <c r="A28" s="10" t="s">
        <v>2343</v>
      </c>
      <c r="B28" s="9" t="s">
        <v>2725</v>
      </c>
      <c r="C28" s="9" t="s">
        <v>2726</v>
      </c>
      <c r="D28" s="9" t="s">
        <v>2727</v>
      </c>
      <c r="E28" s="9" t="s">
        <v>3104</v>
      </c>
      <c r="F28" s="9" t="s">
        <v>2728</v>
      </c>
      <c r="G28" s="9" t="s">
        <v>2729</v>
      </c>
      <c r="H28" s="9" t="s">
        <v>1380</v>
      </c>
      <c r="I28" s="10" t="s">
        <v>435</v>
      </c>
      <c r="J28" s="10" t="s">
        <v>435</v>
      </c>
      <c r="K28" s="10" t="s">
        <v>2534</v>
      </c>
      <c r="L28" s="9" t="s">
        <v>2730</v>
      </c>
      <c r="M28" s="10" t="s">
        <v>439</v>
      </c>
      <c r="N28" s="9" t="s">
        <v>2535</v>
      </c>
      <c r="O28" s="9" t="s">
        <v>2731</v>
      </c>
      <c r="P28" s="9"/>
    </row>
    <row r="29" spans="1:16" ht="72.5" x14ac:dyDescent="0.35">
      <c r="A29" s="10" t="s">
        <v>2354</v>
      </c>
      <c r="B29" s="9" t="s">
        <v>2732</v>
      </c>
      <c r="C29" s="9" t="s">
        <v>2733</v>
      </c>
      <c r="D29" s="9" t="s">
        <v>2734</v>
      </c>
      <c r="E29" s="9" t="s">
        <v>3104</v>
      </c>
      <c r="F29" s="9" t="s">
        <v>2735</v>
      </c>
      <c r="G29" s="9" t="s">
        <v>2736</v>
      </c>
      <c r="H29" s="9" t="s">
        <v>1424</v>
      </c>
      <c r="I29" s="10" t="s">
        <v>2533</v>
      </c>
      <c r="J29" s="10" t="s">
        <v>435</v>
      </c>
      <c r="K29" s="10" t="s">
        <v>2534</v>
      </c>
      <c r="L29" s="9" t="s">
        <v>1422</v>
      </c>
      <c r="M29" s="10" t="s">
        <v>439</v>
      </c>
      <c r="N29" s="9" t="s">
        <v>2535</v>
      </c>
      <c r="O29" s="9" t="s">
        <v>2737</v>
      </c>
      <c r="P29" s="9"/>
    </row>
    <row r="30" spans="1:16" ht="43.5" x14ac:dyDescent="0.35">
      <c r="A30" s="10" t="s">
        <v>2738</v>
      </c>
      <c r="B30" s="9" t="s">
        <v>2739</v>
      </c>
      <c r="C30" s="9" t="s">
        <v>2740</v>
      </c>
      <c r="D30" s="9" t="s">
        <v>2741</v>
      </c>
      <c r="E30" s="9" t="s">
        <v>3104</v>
      </c>
      <c r="F30" s="9" t="s">
        <v>2742</v>
      </c>
      <c r="G30" s="9" t="s">
        <v>2743</v>
      </c>
      <c r="H30" s="9" t="s">
        <v>1501</v>
      </c>
      <c r="I30" s="10" t="s">
        <v>484</v>
      </c>
      <c r="J30" s="10" t="s">
        <v>484</v>
      </c>
      <c r="K30" s="10" t="s">
        <v>2534</v>
      </c>
      <c r="L30" s="9" t="s">
        <v>2744</v>
      </c>
      <c r="M30" s="10" t="s">
        <v>439</v>
      </c>
      <c r="N30" s="9" t="s">
        <v>2535</v>
      </c>
      <c r="O30" s="9" t="s">
        <v>2745</v>
      </c>
      <c r="P30" s="9"/>
    </row>
    <row r="31" spans="1:16" ht="58" x14ac:dyDescent="0.35">
      <c r="A31" s="10" t="s">
        <v>2376</v>
      </c>
      <c r="B31" s="9" t="s">
        <v>2746</v>
      </c>
      <c r="C31" s="9" t="s">
        <v>2747</v>
      </c>
      <c r="D31" s="9" t="s">
        <v>2748</v>
      </c>
      <c r="E31" s="9" t="s">
        <v>3104</v>
      </c>
      <c r="F31" s="9" t="s">
        <v>2749</v>
      </c>
      <c r="G31" s="9" t="s">
        <v>2750</v>
      </c>
      <c r="H31" s="9" t="s">
        <v>1565</v>
      </c>
      <c r="I31" s="10" t="s">
        <v>435</v>
      </c>
      <c r="J31" s="10" t="s">
        <v>435</v>
      </c>
      <c r="K31" s="10" t="s">
        <v>2534</v>
      </c>
      <c r="L31" s="9" t="s">
        <v>2751</v>
      </c>
      <c r="M31" s="10" t="s">
        <v>439</v>
      </c>
      <c r="N31" s="9" t="s">
        <v>2535</v>
      </c>
      <c r="O31" s="9" t="s">
        <v>2752</v>
      </c>
      <c r="P31" s="9"/>
    </row>
    <row r="32" spans="1:16" ht="43.5" x14ac:dyDescent="0.35">
      <c r="A32" s="10" t="s">
        <v>2753</v>
      </c>
      <c r="B32" s="9" t="s">
        <v>2754</v>
      </c>
      <c r="C32" s="9" t="s">
        <v>2740</v>
      </c>
      <c r="D32" s="9" t="s">
        <v>2755</v>
      </c>
      <c r="E32" s="9" t="s">
        <v>3104</v>
      </c>
      <c r="F32" s="9" t="s">
        <v>2756</v>
      </c>
      <c r="G32" s="9" t="s">
        <v>2743</v>
      </c>
      <c r="H32" s="9" t="s">
        <v>1501</v>
      </c>
      <c r="I32" s="10" t="s">
        <v>484</v>
      </c>
      <c r="J32" s="10" t="s">
        <v>484</v>
      </c>
      <c r="K32" s="10" t="s">
        <v>2534</v>
      </c>
      <c r="L32" s="9" t="s">
        <v>2744</v>
      </c>
      <c r="M32" s="10" t="s">
        <v>439</v>
      </c>
      <c r="N32" s="9" t="s">
        <v>2535</v>
      </c>
      <c r="O32" s="9" t="s">
        <v>2757</v>
      </c>
      <c r="P32" s="9"/>
    </row>
    <row r="33" spans="1:16" ht="58" x14ac:dyDescent="0.35">
      <c r="A33" s="10" t="s">
        <v>2402</v>
      </c>
      <c r="B33" s="9" t="s">
        <v>2758</v>
      </c>
      <c r="C33" s="9" t="s">
        <v>2759</v>
      </c>
      <c r="D33" s="9" t="s">
        <v>2760</v>
      </c>
      <c r="E33" s="9" t="s">
        <v>3104</v>
      </c>
      <c r="F33" s="9" t="s">
        <v>2761</v>
      </c>
      <c r="G33" s="9" t="s">
        <v>2762</v>
      </c>
      <c r="H33" s="9" t="s">
        <v>1656</v>
      </c>
      <c r="I33" s="10" t="s">
        <v>2533</v>
      </c>
      <c r="J33" s="10" t="s">
        <v>435</v>
      </c>
      <c r="K33" s="10" t="s">
        <v>2534</v>
      </c>
      <c r="L33" s="9" t="s">
        <v>1654</v>
      </c>
      <c r="M33" s="10" t="s">
        <v>439</v>
      </c>
      <c r="N33" s="9" t="s">
        <v>2535</v>
      </c>
      <c r="O33" s="9" t="s">
        <v>2763</v>
      </c>
      <c r="P33" s="9" t="s">
        <v>2764</v>
      </c>
    </row>
    <row r="34" spans="1:16" ht="43.5" x14ac:dyDescent="0.35">
      <c r="A34" s="10" t="s">
        <v>2765</v>
      </c>
      <c r="B34" s="9" t="s">
        <v>2766</v>
      </c>
      <c r="C34" s="9" t="s">
        <v>2767</v>
      </c>
      <c r="D34" s="9" t="s">
        <v>2768</v>
      </c>
      <c r="E34" s="9" t="s">
        <v>3104</v>
      </c>
      <c r="F34" s="9" t="s">
        <v>2769</v>
      </c>
      <c r="G34" s="9" t="s">
        <v>2770</v>
      </c>
      <c r="H34" s="9" t="s">
        <v>1752</v>
      </c>
      <c r="I34" s="10" t="s">
        <v>484</v>
      </c>
      <c r="J34" s="10" t="s">
        <v>484</v>
      </c>
      <c r="K34" s="10" t="s">
        <v>2534</v>
      </c>
      <c r="L34" s="9" t="s">
        <v>2771</v>
      </c>
      <c r="M34" s="10" t="s">
        <v>439</v>
      </c>
      <c r="N34" s="9" t="s">
        <v>2535</v>
      </c>
      <c r="O34" s="9" t="s">
        <v>2772</v>
      </c>
      <c r="P34" s="9"/>
    </row>
    <row r="35" spans="1:16" ht="58" x14ac:dyDescent="0.35">
      <c r="A35" s="10" t="s">
        <v>2411</v>
      </c>
      <c r="B35" s="9" t="s">
        <v>2773</v>
      </c>
      <c r="C35" s="9" t="s">
        <v>2774</v>
      </c>
      <c r="D35" s="9" t="s">
        <v>2775</v>
      </c>
      <c r="E35" s="9" t="s">
        <v>3104</v>
      </c>
      <c r="F35" s="9" t="s">
        <v>2776</v>
      </c>
      <c r="G35" s="9" t="s">
        <v>2777</v>
      </c>
      <c r="H35" s="9" t="s">
        <v>1380</v>
      </c>
      <c r="I35" s="10" t="s">
        <v>2533</v>
      </c>
      <c r="J35" s="10" t="s">
        <v>435</v>
      </c>
      <c r="K35" s="10" t="s">
        <v>2534</v>
      </c>
      <c r="L35" s="9" t="s">
        <v>1833</v>
      </c>
      <c r="M35" s="10" t="s">
        <v>439</v>
      </c>
      <c r="N35" s="9" t="s">
        <v>2535</v>
      </c>
      <c r="O35" s="9" t="s">
        <v>2778</v>
      </c>
      <c r="P35" s="9" t="s">
        <v>2779</v>
      </c>
    </row>
    <row r="36" spans="1:16" ht="43.5" x14ac:dyDescent="0.35">
      <c r="A36" s="10" t="s">
        <v>2423</v>
      </c>
      <c r="B36" s="9" t="s">
        <v>2780</v>
      </c>
      <c r="C36" s="9" t="s">
        <v>2781</v>
      </c>
      <c r="D36" s="9" t="s">
        <v>2782</v>
      </c>
      <c r="E36" s="9" t="s">
        <v>3104</v>
      </c>
      <c r="F36" s="9" t="s">
        <v>2783</v>
      </c>
      <c r="G36" s="9" t="s">
        <v>2784</v>
      </c>
      <c r="H36" s="9" t="s">
        <v>1867</v>
      </c>
      <c r="I36" s="10" t="s">
        <v>435</v>
      </c>
      <c r="J36" s="10" t="s">
        <v>435</v>
      </c>
      <c r="K36" s="10" t="s">
        <v>2534</v>
      </c>
      <c r="L36" s="9" t="s">
        <v>1833</v>
      </c>
      <c r="M36" s="10" t="s">
        <v>439</v>
      </c>
      <c r="N36" s="9" t="s">
        <v>2535</v>
      </c>
      <c r="O36" s="9" t="s">
        <v>2785</v>
      </c>
      <c r="P36" s="9" t="s">
        <v>2786</v>
      </c>
    </row>
    <row r="37" spans="1:16" ht="58" x14ac:dyDescent="0.35">
      <c r="A37" s="10" t="s">
        <v>2517</v>
      </c>
      <c r="B37" s="9" t="s">
        <v>2787</v>
      </c>
      <c r="C37" s="9" t="s">
        <v>2788</v>
      </c>
      <c r="D37" s="9" t="s">
        <v>2782</v>
      </c>
      <c r="E37" s="9" t="s">
        <v>3104</v>
      </c>
      <c r="F37" s="9" t="s">
        <v>2789</v>
      </c>
      <c r="G37" s="9" t="s">
        <v>2790</v>
      </c>
      <c r="H37" s="9" t="s">
        <v>1867</v>
      </c>
      <c r="I37" s="10" t="s">
        <v>435</v>
      </c>
      <c r="J37" s="10" t="s">
        <v>435</v>
      </c>
      <c r="K37" s="10" t="s">
        <v>2534</v>
      </c>
      <c r="L37" s="9" t="s">
        <v>2791</v>
      </c>
      <c r="M37" s="10" t="s">
        <v>439</v>
      </c>
      <c r="N37" s="9" t="s">
        <v>2535</v>
      </c>
      <c r="O37" s="9" t="s">
        <v>2792</v>
      </c>
      <c r="P37" s="9"/>
    </row>
    <row r="38" spans="1:16" ht="72.5" x14ac:dyDescent="0.35">
      <c r="A38" s="10" t="s">
        <v>2435</v>
      </c>
      <c r="B38" s="9" t="s">
        <v>2793</v>
      </c>
      <c r="C38" s="9" t="s">
        <v>2794</v>
      </c>
      <c r="D38" s="9" t="s">
        <v>2795</v>
      </c>
      <c r="E38" s="9" t="s">
        <v>3104</v>
      </c>
      <c r="F38" s="9" t="s">
        <v>2796</v>
      </c>
      <c r="G38" s="9" t="s">
        <v>2797</v>
      </c>
      <c r="H38" s="9" t="s">
        <v>2798</v>
      </c>
      <c r="I38" s="10" t="s">
        <v>484</v>
      </c>
      <c r="J38" s="10" t="s">
        <v>484</v>
      </c>
      <c r="K38" s="10" t="s">
        <v>2534</v>
      </c>
      <c r="L38" s="9" t="s">
        <v>2799</v>
      </c>
      <c r="M38" s="10" t="s">
        <v>439</v>
      </c>
      <c r="N38" s="9" t="s">
        <v>2535</v>
      </c>
      <c r="O38" s="9" t="s">
        <v>2800</v>
      </c>
      <c r="P38" s="9"/>
    </row>
    <row r="39" spans="1:16" ht="72.5" x14ac:dyDescent="0.35">
      <c r="A39" s="10" t="s">
        <v>2801</v>
      </c>
      <c r="B39" s="9" t="s">
        <v>2802</v>
      </c>
      <c r="C39" s="9" t="s">
        <v>2803</v>
      </c>
      <c r="D39" s="9" t="s">
        <v>2795</v>
      </c>
      <c r="E39" s="9" t="s">
        <v>3104</v>
      </c>
      <c r="F39" s="9" t="s">
        <v>2804</v>
      </c>
      <c r="G39" s="9" t="s">
        <v>2805</v>
      </c>
      <c r="H39" s="9" t="s">
        <v>2031</v>
      </c>
      <c r="I39" s="10" t="s">
        <v>538</v>
      </c>
      <c r="J39" s="10" t="s">
        <v>538</v>
      </c>
      <c r="K39" s="10" t="s">
        <v>2534</v>
      </c>
      <c r="L39" s="9" t="s">
        <v>2806</v>
      </c>
      <c r="M39" s="10" t="s">
        <v>439</v>
      </c>
      <c r="N39" s="9" t="s">
        <v>2535</v>
      </c>
      <c r="O39" s="9" t="s">
        <v>2807</v>
      </c>
      <c r="P39" s="9"/>
    </row>
    <row r="40" spans="1:16" ht="58" x14ac:dyDescent="0.35">
      <c r="A40" s="10" t="s">
        <v>2429</v>
      </c>
      <c r="B40" s="9" t="s">
        <v>2808</v>
      </c>
      <c r="C40" s="9" t="s">
        <v>2809</v>
      </c>
      <c r="D40" s="9" t="s">
        <v>2795</v>
      </c>
      <c r="E40" s="9" t="s">
        <v>3104</v>
      </c>
      <c r="F40" s="9" t="s">
        <v>2810</v>
      </c>
      <c r="G40" s="9" t="s">
        <v>2811</v>
      </c>
      <c r="H40" s="9" t="s">
        <v>2812</v>
      </c>
      <c r="I40" s="10" t="s">
        <v>484</v>
      </c>
      <c r="J40" s="10" t="s">
        <v>484</v>
      </c>
      <c r="K40" s="10" t="s">
        <v>2534</v>
      </c>
      <c r="L40" s="9" t="s">
        <v>2813</v>
      </c>
      <c r="M40" s="10" t="s">
        <v>439</v>
      </c>
      <c r="N40" s="9" t="s">
        <v>2535</v>
      </c>
      <c r="O40" s="9" t="s">
        <v>2814</v>
      </c>
      <c r="P40" s="9" t="s">
        <v>2815</v>
      </c>
    </row>
    <row r="41" spans="1:16" ht="72.5" x14ac:dyDescent="0.35">
      <c r="A41" s="10" t="s">
        <v>2463</v>
      </c>
      <c r="B41" s="9" t="s">
        <v>2816</v>
      </c>
      <c r="C41" s="9" t="s">
        <v>2817</v>
      </c>
      <c r="D41" s="9" t="s">
        <v>2818</v>
      </c>
      <c r="E41" s="9" t="s">
        <v>3104</v>
      </c>
      <c r="F41" s="9" t="s">
        <v>2819</v>
      </c>
      <c r="G41" s="9" t="s">
        <v>2820</v>
      </c>
      <c r="H41" s="9" t="s">
        <v>2821</v>
      </c>
      <c r="I41" s="10" t="s">
        <v>484</v>
      </c>
      <c r="J41" s="10" t="s">
        <v>484</v>
      </c>
      <c r="K41" s="10" t="s">
        <v>2534</v>
      </c>
      <c r="L41" s="9" t="s">
        <v>2822</v>
      </c>
      <c r="M41" s="10" t="s">
        <v>439</v>
      </c>
      <c r="N41" s="9" t="s">
        <v>2535</v>
      </c>
      <c r="O41" s="9" t="s">
        <v>2823</v>
      </c>
      <c r="P41" s="9"/>
    </row>
    <row r="42" spans="1:16" ht="72.5" x14ac:dyDescent="0.35">
      <c r="A42" s="10" t="s">
        <v>2824</v>
      </c>
      <c r="B42" s="9" t="s">
        <v>2825</v>
      </c>
      <c r="C42" s="9" t="s">
        <v>2826</v>
      </c>
      <c r="D42" s="9" t="s">
        <v>2818</v>
      </c>
      <c r="E42" s="9" t="s">
        <v>3104</v>
      </c>
      <c r="F42" s="9" t="s">
        <v>2827</v>
      </c>
      <c r="G42" s="9" t="s">
        <v>2828</v>
      </c>
      <c r="H42" s="9" t="s">
        <v>2160</v>
      </c>
      <c r="I42" s="10" t="s">
        <v>538</v>
      </c>
      <c r="J42" s="10" t="s">
        <v>538</v>
      </c>
      <c r="K42" s="10" t="s">
        <v>2534</v>
      </c>
      <c r="L42" s="9" t="s">
        <v>2829</v>
      </c>
      <c r="M42" s="10" t="s">
        <v>439</v>
      </c>
      <c r="N42" s="9" t="s">
        <v>2535</v>
      </c>
      <c r="O42" s="9" t="s">
        <v>2830</v>
      </c>
      <c r="P42" s="9"/>
    </row>
  </sheetData>
  <conditionalFormatting sqref="I2:I142">
    <cfRule type="cellIs" dxfId="21" priority="6" operator="equal">
      <formula>"Critical"</formula>
    </cfRule>
    <cfRule type="cellIs" dxfId="20" priority="7" operator="equal">
      <formula>"High"</formula>
    </cfRule>
    <cfRule type="cellIs" dxfId="19" priority="8" operator="equal">
      <formula>"Medium"</formula>
    </cfRule>
    <cfRule type="cellIs" dxfId="18" priority="9" operator="equal">
      <formula>"Low"</formula>
    </cfRule>
  </conditionalFormatting>
  <conditionalFormatting sqref="J1:J1048576">
    <cfRule type="cellIs" dxfId="11" priority="4" operator="equal">
      <formula>"high"</formula>
    </cfRule>
    <cfRule type="cellIs" dxfId="12" priority="3" operator="equal">
      <formula>"medium"</formula>
    </cfRule>
    <cfRule type="cellIs" dxfId="10" priority="1" operator="equal">
      <formula>"low"</formula>
    </cfRule>
  </conditionalFormatting>
  <conditionalFormatting sqref="J7">
    <cfRule type="cellIs" dxfId="13" priority="2" operator="equal">
      <formula>"low"</formula>
    </cfRule>
  </conditionalFormatting>
  <dataValidations count="3">
    <dataValidation type="list" allowBlank="1" sqref="I2:I142" xr:uid="{00000000-0002-0000-0400-000000000000}">
      <formula1>"Critical,High,Medium,Low"</formula1>
      <formula2>0</formula2>
    </dataValidation>
    <dataValidation type="list" allowBlank="1" sqref="J2:J142" xr:uid="{00000000-0002-0000-0400-000001000000}">
      <formula1>"High,Medium,Low"</formula1>
      <formula2>0</formula2>
    </dataValidation>
    <dataValidation type="list" allowBlank="1" sqref="K2:K142" xr:uid="{00000000-0002-0000-0400-000002000000}">
      <formula1>"Open,In Progress,Fixed,Retest,Closed,Rejected"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5"/>
  <sheetViews>
    <sheetView zoomScaleNormal="100" workbookViewId="0">
      <pane xSplit="3" ySplit="1" topLeftCell="D2" activePane="bottomRight" state="frozen"/>
      <selection pane="topRight" activeCell="D1" sqref="D1"/>
      <selection pane="bottomLeft" activeCell="A2" sqref="A2"/>
      <selection pane="bottomRight" sqref="A1:XFD1"/>
    </sheetView>
  </sheetViews>
  <sheetFormatPr defaultColWidth="8.6328125" defaultRowHeight="14.5" x14ac:dyDescent="0.35"/>
  <cols>
    <col min="1" max="1" width="13.453125" customWidth="1"/>
    <col min="2" max="2" width="20" customWidth="1"/>
    <col min="3" max="3" width="38" customWidth="1"/>
    <col min="4" max="4" width="10" customWidth="1"/>
    <col min="5" max="5" width="11" customWidth="1"/>
    <col min="6" max="6" width="60" customWidth="1"/>
    <col min="7" max="7" width="11" customWidth="1"/>
    <col min="8" max="8" width="70" customWidth="1"/>
  </cols>
  <sheetData>
    <row r="1" spans="1:8" s="26" customFormat="1" ht="35" x14ac:dyDescent="0.45">
      <c r="A1" s="25" t="s">
        <v>2831</v>
      </c>
      <c r="B1" s="25" t="s">
        <v>2191</v>
      </c>
      <c r="C1" s="25" t="s">
        <v>421</v>
      </c>
      <c r="D1" s="25" t="s">
        <v>425</v>
      </c>
      <c r="E1" s="25" t="s">
        <v>428</v>
      </c>
      <c r="F1" s="25" t="s">
        <v>427</v>
      </c>
      <c r="G1" s="25" t="s">
        <v>2832</v>
      </c>
      <c r="H1" s="25" t="s">
        <v>2833</v>
      </c>
    </row>
    <row r="2" spans="1:8" ht="43.5" x14ac:dyDescent="0.35">
      <c r="A2" s="10" t="s">
        <v>462</v>
      </c>
      <c r="B2" s="9" t="s">
        <v>2200</v>
      </c>
      <c r="C2" s="9" t="s">
        <v>463</v>
      </c>
      <c r="D2" s="10" t="s">
        <v>435</v>
      </c>
      <c r="E2" s="10" t="s">
        <v>470</v>
      </c>
      <c r="F2" s="9" t="s">
        <v>469</v>
      </c>
      <c r="G2" s="10" t="s">
        <v>2210</v>
      </c>
      <c r="H2" s="9" t="s">
        <v>2565</v>
      </c>
    </row>
    <row r="3" spans="1:8" ht="43.5" x14ac:dyDescent="0.35">
      <c r="A3" s="10" t="s">
        <v>471</v>
      </c>
      <c r="B3" s="9" t="s">
        <v>2200</v>
      </c>
      <c r="C3" s="9" t="s">
        <v>472</v>
      </c>
      <c r="D3" s="10" t="s">
        <v>435</v>
      </c>
      <c r="E3" s="10" t="s">
        <v>470</v>
      </c>
      <c r="F3" s="9" t="s">
        <v>469</v>
      </c>
      <c r="G3" s="10" t="s">
        <v>2210</v>
      </c>
      <c r="H3" s="9" t="s">
        <v>2565</v>
      </c>
    </row>
    <row r="4" spans="1:8" ht="29" x14ac:dyDescent="0.35">
      <c r="A4" s="10" t="s">
        <v>478</v>
      </c>
      <c r="B4" s="9" t="s">
        <v>2200</v>
      </c>
      <c r="C4" s="9" t="s">
        <v>479</v>
      </c>
      <c r="D4" s="10" t="s">
        <v>484</v>
      </c>
      <c r="E4" s="10" t="s">
        <v>470</v>
      </c>
      <c r="F4" s="9" t="s">
        <v>486</v>
      </c>
      <c r="G4" s="10" t="s">
        <v>2557</v>
      </c>
      <c r="H4" s="9" t="s">
        <v>2558</v>
      </c>
    </row>
    <row r="5" spans="1:8" ht="43.5" x14ac:dyDescent="0.35">
      <c r="A5" s="10" t="s">
        <v>487</v>
      </c>
      <c r="B5" s="9" t="s">
        <v>2200</v>
      </c>
      <c r="C5" s="9" t="s">
        <v>488</v>
      </c>
      <c r="D5" s="10" t="s">
        <v>484</v>
      </c>
      <c r="E5" s="10" t="s">
        <v>470</v>
      </c>
      <c r="F5" s="9" t="s">
        <v>493</v>
      </c>
      <c r="G5" s="10" t="s">
        <v>2557</v>
      </c>
      <c r="H5" s="9" t="s">
        <v>2558</v>
      </c>
    </row>
    <row r="6" spans="1:8" ht="29" x14ac:dyDescent="0.35">
      <c r="A6" s="10" t="s">
        <v>70</v>
      </c>
      <c r="B6" s="9" t="s">
        <v>2200</v>
      </c>
      <c r="C6" s="9" t="s">
        <v>494</v>
      </c>
      <c r="D6" s="10" t="s">
        <v>435</v>
      </c>
      <c r="E6" s="10" t="s">
        <v>470</v>
      </c>
      <c r="F6" s="9" t="s">
        <v>500</v>
      </c>
      <c r="G6" s="10" t="s">
        <v>2213</v>
      </c>
      <c r="H6" s="9" t="s">
        <v>2543</v>
      </c>
    </row>
    <row r="7" spans="1:8" ht="29" x14ac:dyDescent="0.35">
      <c r="A7" s="10" t="s">
        <v>74</v>
      </c>
      <c r="B7" s="9" t="s">
        <v>2200</v>
      </c>
      <c r="C7" s="9" t="s">
        <v>501</v>
      </c>
      <c r="D7" s="10" t="s">
        <v>435</v>
      </c>
      <c r="E7" s="10" t="s">
        <v>470</v>
      </c>
      <c r="F7" s="9" t="s">
        <v>507</v>
      </c>
      <c r="G7" s="10" t="s">
        <v>2213</v>
      </c>
      <c r="H7" s="9" t="s">
        <v>2543</v>
      </c>
    </row>
    <row r="8" spans="1:8" ht="29" x14ac:dyDescent="0.35">
      <c r="A8" s="10" t="s">
        <v>520</v>
      </c>
      <c r="B8" s="9" t="s">
        <v>2200</v>
      </c>
      <c r="C8" s="9" t="s">
        <v>521</v>
      </c>
      <c r="D8" s="10" t="s">
        <v>484</v>
      </c>
      <c r="E8" s="10" t="s">
        <v>470</v>
      </c>
      <c r="F8" s="9" t="s">
        <v>526</v>
      </c>
      <c r="G8" s="10" t="s">
        <v>2572</v>
      </c>
      <c r="H8" s="9" t="s">
        <v>2573</v>
      </c>
    </row>
    <row r="9" spans="1:8" ht="29" x14ac:dyDescent="0.35">
      <c r="A9" s="10" t="s">
        <v>95</v>
      </c>
      <c r="B9" s="9" t="s">
        <v>2200</v>
      </c>
      <c r="C9" s="9" t="s">
        <v>527</v>
      </c>
      <c r="D9" s="10" t="s">
        <v>435</v>
      </c>
      <c r="E9" s="10" t="s">
        <v>470</v>
      </c>
      <c r="F9" s="9" t="s">
        <v>532</v>
      </c>
      <c r="G9" s="10" t="s">
        <v>2482</v>
      </c>
      <c r="H9" s="9" t="s">
        <v>2529</v>
      </c>
    </row>
    <row r="10" spans="1:8" ht="29" x14ac:dyDescent="0.35">
      <c r="A10" s="10" t="s">
        <v>549</v>
      </c>
      <c r="B10" s="9" t="s">
        <v>2200</v>
      </c>
      <c r="C10" s="9" t="s">
        <v>550</v>
      </c>
      <c r="D10" s="10" t="s">
        <v>435</v>
      </c>
      <c r="E10" s="10" t="s">
        <v>470</v>
      </c>
      <c r="F10" s="9" t="s">
        <v>556</v>
      </c>
      <c r="G10" s="10" t="s">
        <v>2474</v>
      </c>
      <c r="H10" s="9" t="s">
        <v>2552</v>
      </c>
    </row>
    <row r="11" spans="1:8" ht="29" x14ac:dyDescent="0.35">
      <c r="A11" s="10" t="s">
        <v>91</v>
      </c>
      <c r="B11" s="9" t="s">
        <v>2200</v>
      </c>
      <c r="C11" s="9" t="s">
        <v>557</v>
      </c>
      <c r="D11" s="10" t="s">
        <v>435</v>
      </c>
      <c r="E11" s="10" t="s">
        <v>470</v>
      </c>
      <c r="F11" s="9" t="s">
        <v>563</v>
      </c>
      <c r="G11" s="10" t="s">
        <v>2479</v>
      </c>
      <c r="H11" s="9" t="s">
        <v>2537</v>
      </c>
    </row>
    <row r="12" spans="1:8" ht="29" x14ac:dyDescent="0.35">
      <c r="A12" s="10" t="s">
        <v>622</v>
      </c>
      <c r="B12" s="9" t="s">
        <v>2219</v>
      </c>
      <c r="C12" s="9" t="s">
        <v>623</v>
      </c>
      <c r="D12" s="10" t="s">
        <v>484</v>
      </c>
      <c r="E12" s="10" t="s">
        <v>470</v>
      </c>
      <c r="F12" s="9" t="s">
        <v>628</v>
      </c>
      <c r="G12" s="10" t="s">
        <v>2607</v>
      </c>
      <c r="H12" s="9" t="s">
        <v>2608</v>
      </c>
    </row>
    <row r="13" spans="1:8" ht="29" x14ac:dyDescent="0.35">
      <c r="A13" s="10" t="s">
        <v>629</v>
      </c>
      <c r="B13" s="9" t="s">
        <v>2219</v>
      </c>
      <c r="C13" s="9" t="s">
        <v>630</v>
      </c>
      <c r="D13" s="10" t="s">
        <v>435</v>
      </c>
      <c r="E13" s="10" t="s">
        <v>470</v>
      </c>
      <c r="F13" s="9" t="s">
        <v>635</v>
      </c>
      <c r="G13" s="10" t="s">
        <v>2276</v>
      </c>
      <c r="H13" s="9" t="s">
        <v>2601</v>
      </c>
    </row>
    <row r="14" spans="1:8" ht="29" x14ac:dyDescent="0.35">
      <c r="A14" s="10" t="s">
        <v>653</v>
      </c>
      <c r="B14" s="9" t="s">
        <v>2219</v>
      </c>
      <c r="C14" s="9" t="s">
        <v>654</v>
      </c>
      <c r="D14" s="10" t="s">
        <v>435</v>
      </c>
      <c r="E14" s="10" t="s">
        <v>470</v>
      </c>
      <c r="F14" s="9" t="s">
        <v>658</v>
      </c>
      <c r="G14" s="10" t="s">
        <v>2274</v>
      </c>
      <c r="H14" s="9" t="s">
        <v>2579</v>
      </c>
    </row>
    <row r="15" spans="1:8" ht="29" x14ac:dyDescent="0.35">
      <c r="A15" s="10" t="s">
        <v>659</v>
      </c>
      <c r="B15" s="9" t="s">
        <v>2219</v>
      </c>
      <c r="C15" s="9" t="s">
        <v>660</v>
      </c>
      <c r="D15" s="10" t="s">
        <v>435</v>
      </c>
      <c r="E15" s="10" t="s">
        <v>470</v>
      </c>
      <c r="F15" s="9" t="s">
        <v>664</v>
      </c>
      <c r="G15" s="10" t="s">
        <v>2274</v>
      </c>
      <c r="H15" s="9" t="s">
        <v>2579</v>
      </c>
    </row>
    <row r="16" spans="1:8" ht="29" x14ac:dyDescent="0.35">
      <c r="A16" s="10" t="s">
        <v>665</v>
      </c>
      <c r="B16" s="9" t="s">
        <v>2219</v>
      </c>
      <c r="C16" s="9" t="s">
        <v>666</v>
      </c>
      <c r="D16" s="10" t="s">
        <v>484</v>
      </c>
      <c r="E16" s="10" t="s">
        <v>470</v>
      </c>
      <c r="F16" s="9" t="s">
        <v>670</v>
      </c>
      <c r="G16" s="10" t="s">
        <v>2274</v>
      </c>
      <c r="H16" s="9" t="s">
        <v>2579</v>
      </c>
    </row>
    <row r="17" spans="1:8" ht="29" x14ac:dyDescent="0.35">
      <c r="A17" s="10" t="s">
        <v>671</v>
      </c>
      <c r="B17" s="9" t="s">
        <v>2219</v>
      </c>
      <c r="C17" s="9" t="s">
        <v>672</v>
      </c>
      <c r="D17" s="10" t="s">
        <v>484</v>
      </c>
      <c r="E17" s="10" t="s">
        <v>678</v>
      </c>
      <c r="F17" s="9" t="s">
        <v>677</v>
      </c>
      <c r="G17" s="10" t="s">
        <v>55</v>
      </c>
      <c r="H17" s="9" t="s">
        <v>2834</v>
      </c>
    </row>
    <row r="18" spans="1:8" ht="29" x14ac:dyDescent="0.35">
      <c r="A18" s="10" t="s">
        <v>695</v>
      </c>
      <c r="B18" s="9" t="s">
        <v>2219</v>
      </c>
      <c r="C18" s="9" t="s">
        <v>696</v>
      </c>
      <c r="D18" s="10" t="s">
        <v>538</v>
      </c>
      <c r="E18" s="10" t="s">
        <v>470</v>
      </c>
      <c r="F18" s="9" t="s">
        <v>700</v>
      </c>
      <c r="G18" s="10" t="s">
        <v>2607</v>
      </c>
      <c r="H18" s="9" t="s">
        <v>2608</v>
      </c>
    </row>
    <row r="19" spans="1:8" ht="29" x14ac:dyDescent="0.35">
      <c r="A19" s="10" t="s">
        <v>725</v>
      </c>
      <c r="B19" s="9" t="s">
        <v>2219</v>
      </c>
      <c r="C19" s="9" t="s">
        <v>726</v>
      </c>
      <c r="D19" s="10" t="s">
        <v>538</v>
      </c>
      <c r="E19" s="10" t="s">
        <v>470</v>
      </c>
      <c r="F19" s="9" t="s">
        <v>728</v>
      </c>
      <c r="G19" s="10" t="s">
        <v>2607</v>
      </c>
      <c r="H19" s="9" t="s">
        <v>2608</v>
      </c>
    </row>
    <row r="20" spans="1:8" ht="29" x14ac:dyDescent="0.35">
      <c r="A20" s="10" t="s">
        <v>761</v>
      </c>
      <c r="B20" s="9" t="s">
        <v>2219</v>
      </c>
      <c r="C20" s="9" t="s">
        <v>762</v>
      </c>
      <c r="D20" s="10" t="s">
        <v>435</v>
      </c>
      <c r="E20" s="10" t="s">
        <v>470</v>
      </c>
      <c r="F20" s="9" t="s">
        <v>766</v>
      </c>
      <c r="G20" s="10" t="s">
        <v>2488</v>
      </c>
      <c r="H20" s="9" t="s">
        <v>2587</v>
      </c>
    </row>
    <row r="21" spans="1:8" ht="29" x14ac:dyDescent="0.35">
      <c r="A21" s="10" t="s">
        <v>767</v>
      </c>
      <c r="B21" s="9" t="s">
        <v>2219</v>
      </c>
      <c r="C21" s="9" t="s">
        <v>768</v>
      </c>
      <c r="D21" s="10" t="s">
        <v>484</v>
      </c>
      <c r="E21" s="10" t="s">
        <v>470</v>
      </c>
      <c r="F21" s="9" t="s">
        <v>772</v>
      </c>
      <c r="G21" s="10" t="s">
        <v>2488</v>
      </c>
      <c r="H21" s="9" t="s">
        <v>2587</v>
      </c>
    </row>
    <row r="22" spans="1:8" ht="29" x14ac:dyDescent="0.35">
      <c r="A22" s="10" t="s">
        <v>797</v>
      </c>
      <c r="B22" s="9" t="s">
        <v>2219</v>
      </c>
      <c r="C22" s="9" t="s">
        <v>798</v>
      </c>
      <c r="D22" s="10" t="s">
        <v>538</v>
      </c>
      <c r="E22" s="10" t="s">
        <v>470</v>
      </c>
      <c r="F22" s="9" t="s">
        <v>800</v>
      </c>
      <c r="G22" s="10" t="s">
        <v>2607</v>
      </c>
      <c r="H22" s="9" t="s">
        <v>2608</v>
      </c>
    </row>
    <row r="23" spans="1:8" ht="29" x14ac:dyDescent="0.35">
      <c r="A23" s="10" t="s">
        <v>807</v>
      </c>
      <c r="B23" s="9" t="s">
        <v>2219</v>
      </c>
      <c r="C23" s="9" t="s">
        <v>808</v>
      </c>
      <c r="D23" s="10" t="s">
        <v>435</v>
      </c>
      <c r="E23" s="10" t="s">
        <v>470</v>
      </c>
      <c r="F23" s="9" t="s">
        <v>812</v>
      </c>
      <c r="G23" s="10" t="s">
        <v>2485</v>
      </c>
      <c r="H23" s="9" t="s">
        <v>2594</v>
      </c>
    </row>
    <row r="24" spans="1:8" ht="29" x14ac:dyDescent="0.35">
      <c r="A24" s="10" t="s">
        <v>817</v>
      </c>
      <c r="B24" s="9" t="s">
        <v>2219</v>
      </c>
      <c r="C24" s="9" t="s">
        <v>818</v>
      </c>
      <c r="D24" s="10" t="s">
        <v>538</v>
      </c>
      <c r="E24" s="10" t="s">
        <v>470</v>
      </c>
      <c r="F24" s="9" t="s">
        <v>822</v>
      </c>
      <c r="G24" s="10" t="s">
        <v>2485</v>
      </c>
      <c r="H24" s="9" t="s">
        <v>2594</v>
      </c>
    </row>
    <row r="25" spans="1:8" ht="43.5" x14ac:dyDescent="0.35">
      <c r="A25" s="10" t="s">
        <v>909</v>
      </c>
      <c r="B25" s="9" t="s">
        <v>2279</v>
      </c>
      <c r="C25" s="9" t="s">
        <v>910</v>
      </c>
      <c r="D25" s="10" t="s">
        <v>435</v>
      </c>
      <c r="E25" s="10" t="s">
        <v>470</v>
      </c>
      <c r="F25" s="9" t="s">
        <v>915</v>
      </c>
      <c r="G25" s="10" t="s">
        <v>2494</v>
      </c>
      <c r="H25" s="9" t="s">
        <v>2615</v>
      </c>
    </row>
    <row r="26" spans="1:8" ht="43.5" x14ac:dyDescent="0.35">
      <c r="A26" s="10" t="s">
        <v>929</v>
      </c>
      <c r="B26" s="9" t="s">
        <v>2279</v>
      </c>
      <c r="C26" s="9" t="s">
        <v>930</v>
      </c>
      <c r="D26" s="10" t="s">
        <v>538</v>
      </c>
      <c r="E26" s="10" t="s">
        <v>470</v>
      </c>
      <c r="F26" s="9" t="s">
        <v>935</v>
      </c>
      <c r="G26" s="10" t="s">
        <v>2494</v>
      </c>
      <c r="H26" s="9" t="s">
        <v>2615</v>
      </c>
    </row>
    <row r="27" spans="1:8" ht="29" x14ac:dyDescent="0.35">
      <c r="A27" s="10" t="s">
        <v>936</v>
      </c>
      <c r="B27" s="9" t="s">
        <v>2279</v>
      </c>
      <c r="C27" s="9" t="s">
        <v>937</v>
      </c>
      <c r="D27" s="10" t="s">
        <v>435</v>
      </c>
      <c r="E27" s="10" t="s">
        <v>470</v>
      </c>
      <c r="F27" s="9" t="s">
        <v>940</v>
      </c>
      <c r="G27" s="10" t="s">
        <v>2623</v>
      </c>
      <c r="H27" s="9" t="s">
        <v>2624</v>
      </c>
    </row>
    <row r="28" spans="1:8" ht="29" x14ac:dyDescent="0.35">
      <c r="A28" s="10" t="s">
        <v>941</v>
      </c>
      <c r="B28" s="9" t="s">
        <v>2279</v>
      </c>
      <c r="C28" s="9" t="s">
        <v>691</v>
      </c>
      <c r="D28" s="10" t="s">
        <v>484</v>
      </c>
      <c r="E28" s="10" t="s">
        <v>470</v>
      </c>
      <c r="F28" s="9" t="s">
        <v>944</v>
      </c>
      <c r="G28" s="10" t="s">
        <v>2623</v>
      </c>
      <c r="H28" s="9" t="s">
        <v>2624</v>
      </c>
    </row>
    <row r="29" spans="1:8" ht="29" x14ac:dyDescent="0.35">
      <c r="A29" s="10" t="s">
        <v>945</v>
      </c>
      <c r="B29" s="9" t="s">
        <v>2279</v>
      </c>
      <c r="C29" s="9" t="s">
        <v>696</v>
      </c>
      <c r="D29" s="10" t="s">
        <v>538</v>
      </c>
      <c r="E29" s="10" t="s">
        <v>470</v>
      </c>
      <c r="F29" s="9" t="s">
        <v>700</v>
      </c>
      <c r="G29" s="10" t="s">
        <v>2681</v>
      </c>
      <c r="H29" s="9" t="s">
        <v>2682</v>
      </c>
    </row>
    <row r="30" spans="1:8" ht="43.5" x14ac:dyDescent="0.35">
      <c r="A30" s="10" t="s">
        <v>948</v>
      </c>
      <c r="B30" s="9" t="s">
        <v>2279</v>
      </c>
      <c r="C30" s="9" t="s">
        <v>949</v>
      </c>
      <c r="D30" s="10" t="s">
        <v>435</v>
      </c>
      <c r="E30" s="10" t="s">
        <v>470</v>
      </c>
      <c r="F30" s="9" t="s">
        <v>952</v>
      </c>
      <c r="G30" s="10" t="s">
        <v>2631</v>
      </c>
      <c r="H30" s="9" t="s">
        <v>2632</v>
      </c>
    </row>
    <row r="31" spans="1:8" ht="43.5" x14ac:dyDescent="0.35">
      <c r="A31" s="10" t="s">
        <v>953</v>
      </c>
      <c r="B31" s="9" t="s">
        <v>2279</v>
      </c>
      <c r="C31" s="9" t="s">
        <v>954</v>
      </c>
      <c r="D31" s="10" t="s">
        <v>435</v>
      </c>
      <c r="E31" s="10" t="s">
        <v>470</v>
      </c>
      <c r="F31" s="9" t="s">
        <v>957</v>
      </c>
      <c r="G31" s="10" t="s">
        <v>2631</v>
      </c>
      <c r="H31" s="9" t="s">
        <v>2632</v>
      </c>
    </row>
    <row r="32" spans="1:8" ht="43.5" x14ac:dyDescent="0.35">
      <c r="A32" s="10" t="s">
        <v>958</v>
      </c>
      <c r="B32" s="9" t="s">
        <v>2279</v>
      </c>
      <c r="C32" s="9" t="s">
        <v>711</v>
      </c>
      <c r="D32" s="10" t="s">
        <v>484</v>
      </c>
      <c r="E32" s="10" t="s">
        <v>470</v>
      </c>
      <c r="F32" s="9" t="s">
        <v>962</v>
      </c>
      <c r="G32" s="10" t="s">
        <v>2631</v>
      </c>
      <c r="H32" s="9" t="s">
        <v>2632</v>
      </c>
    </row>
    <row r="33" spans="1:8" ht="43.5" x14ac:dyDescent="0.35">
      <c r="A33" s="10" t="s">
        <v>963</v>
      </c>
      <c r="B33" s="9" t="s">
        <v>2279</v>
      </c>
      <c r="C33" s="9" t="s">
        <v>964</v>
      </c>
      <c r="D33" s="10" t="s">
        <v>435</v>
      </c>
      <c r="E33" s="10" t="s">
        <v>470</v>
      </c>
      <c r="F33" s="9" t="s">
        <v>967</v>
      </c>
      <c r="G33" s="10" t="s">
        <v>2631</v>
      </c>
      <c r="H33" s="9" t="s">
        <v>2632</v>
      </c>
    </row>
    <row r="34" spans="1:8" ht="43.5" x14ac:dyDescent="0.35">
      <c r="A34" s="10" t="s">
        <v>968</v>
      </c>
      <c r="B34" s="9" t="s">
        <v>2279</v>
      </c>
      <c r="C34" s="9" t="s">
        <v>969</v>
      </c>
      <c r="D34" s="10" t="s">
        <v>435</v>
      </c>
      <c r="E34" s="10" t="s">
        <v>470</v>
      </c>
      <c r="F34" s="9" t="s">
        <v>972</v>
      </c>
      <c r="G34" s="10" t="s">
        <v>2631</v>
      </c>
      <c r="H34" s="9" t="s">
        <v>2632</v>
      </c>
    </row>
    <row r="35" spans="1:8" ht="29" x14ac:dyDescent="0.35">
      <c r="A35" s="10" t="s">
        <v>973</v>
      </c>
      <c r="B35" s="9" t="s">
        <v>2279</v>
      </c>
      <c r="C35" s="9" t="s">
        <v>726</v>
      </c>
      <c r="D35" s="10" t="s">
        <v>538</v>
      </c>
      <c r="E35" s="10" t="s">
        <v>470</v>
      </c>
      <c r="F35" s="9" t="s">
        <v>975</v>
      </c>
      <c r="G35" s="10" t="s">
        <v>2681</v>
      </c>
      <c r="H35" s="9" t="s">
        <v>2682</v>
      </c>
    </row>
    <row r="36" spans="1:8" ht="43.5" x14ac:dyDescent="0.35">
      <c r="A36" s="10" t="s">
        <v>976</v>
      </c>
      <c r="B36" s="9" t="s">
        <v>2279</v>
      </c>
      <c r="C36" s="9" t="s">
        <v>977</v>
      </c>
      <c r="D36" s="10" t="s">
        <v>435</v>
      </c>
      <c r="E36" s="10" t="s">
        <v>470</v>
      </c>
      <c r="F36" s="9" t="s">
        <v>980</v>
      </c>
      <c r="G36" s="10" t="s">
        <v>2639</v>
      </c>
      <c r="H36" s="9" t="s">
        <v>2640</v>
      </c>
    </row>
    <row r="37" spans="1:8" ht="43.5" x14ac:dyDescent="0.35">
      <c r="A37" s="10" t="s">
        <v>981</v>
      </c>
      <c r="B37" s="9" t="s">
        <v>2279</v>
      </c>
      <c r="C37" s="9" t="s">
        <v>982</v>
      </c>
      <c r="D37" s="10" t="s">
        <v>435</v>
      </c>
      <c r="E37" s="10" t="s">
        <v>470</v>
      </c>
      <c r="F37" s="9" t="s">
        <v>986</v>
      </c>
      <c r="G37" s="10" t="s">
        <v>2639</v>
      </c>
      <c r="H37" s="9" t="s">
        <v>2640</v>
      </c>
    </row>
    <row r="38" spans="1:8" ht="43.5" x14ac:dyDescent="0.35">
      <c r="A38" s="10" t="s">
        <v>987</v>
      </c>
      <c r="B38" s="9" t="s">
        <v>2279</v>
      </c>
      <c r="C38" s="9" t="s">
        <v>988</v>
      </c>
      <c r="D38" s="10" t="s">
        <v>435</v>
      </c>
      <c r="E38" s="10" t="s">
        <v>470</v>
      </c>
      <c r="F38" s="9" t="s">
        <v>991</v>
      </c>
      <c r="G38" s="10" t="s">
        <v>2639</v>
      </c>
      <c r="H38" s="9" t="s">
        <v>2640</v>
      </c>
    </row>
    <row r="39" spans="1:8" ht="43.5" x14ac:dyDescent="0.35">
      <c r="A39" s="10" t="s">
        <v>992</v>
      </c>
      <c r="B39" s="9" t="s">
        <v>2279</v>
      </c>
      <c r="C39" s="9" t="s">
        <v>746</v>
      </c>
      <c r="D39" s="10" t="s">
        <v>484</v>
      </c>
      <c r="E39" s="10" t="s">
        <v>470</v>
      </c>
      <c r="F39" s="9" t="s">
        <v>994</v>
      </c>
      <c r="G39" s="10" t="s">
        <v>2639</v>
      </c>
      <c r="H39" s="9" t="s">
        <v>2640</v>
      </c>
    </row>
    <row r="40" spans="1:8" ht="43.5" x14ac:dyDescent="0.35">
      <c r="A40" s="10" t="s">
        <v>995</v>
      </c>
      <c r="B40" s="9" t="s">
        <v>2279</v>
      </c>
      <c r="C40" s="9" t="s">
        <v>996</v>
      </c>
      <c r="D40" s="10" t="s">
        <v>435</v>
      </c>
      <c r="E40" s="10" t="s">
        <v>470</v>
      </c>
      <c r="F40" s="9" t="s">
        <v>999</v>
      </c>
      <c r="G40" s="10" t="s">
        <v>2647</v>
      </c>
      <c r="H40" s="9" t="s">
        <v>2648</v>
      </c>
    </row>
    <row r="41" spans="1:8" ht="43.5" x14ac:dyDescent="0.35">
      <c r="A41" s="10" t="s">
        <v>1000</v>
      </c>
      <c r="B41" s="9" t="s">
        <v>2279</v>
      </c>
      <c r="C41" s="9" t="s">
        <v>1001</v>
      </c>
      <c r="D41" s="10" t="s">
        <v>435</v>
      </c>
      <c r="E41" s="10" t="s">
        <v>470</v>
      </c>
      <c r="F41" s="9" t="s">
        <v>1004</v>
      </c>
      <c r="G41" s="10" t="s">
        <v>2647</v>
      </c>
      <c r="H41" s="9" t="s">
        <v>2648</v>
      </c>
    </row>
    <row r="42" spans="1:8" ht="43.5" x14ac:dyDescent="0.35">
      <c r="A42" s="10" t="s">
        <v>1005</v>
      </c>
      <c r="B42" s="9" t="s">
        <v>2279</v>
      </c>
      <c r="C42" s="9" t="s">
        <v>762</v>
      </c>
      <c r="D42" s="10" t="s">
        <v>435</v>
      </c>
      <c r="E42" s="10" t="s">
        <v>470</v>
      </c>
      <c r="F42" s="9" t="s">
        <v>1008</v>
      </c>
      <c r="G42" s="10" t="s">
        <v>2647</v>
      </c>
      <c r="H42" s="9" t="s">
        <v>2648</v>
      </c>
    </row>
    <row r="43" spans="1:8" ht="43.5" x14ac:dyDescent="0.35">
      <c r="A43" s="10" t="s">
        <v>1009</v>
      </c>
      <c r="B43" s="9" t="s">
        <v>2279</v>
      </c>
      <c r="C43" s="9" t="s">
        <v>768</v>
      </c>
      <c r="D43" s="10" t="s">
        <v>484</v>
      </c>
      <c r="E43" s="10" t="s">
        <v>470</v>
      </c>
      <c r="F43" s="9" t="s">
        <v>1012</v>
      </c>
      <c r="G43" s="10" t="s">
        <v>2647</v>
      </c>
      <c r="H43" s="9" t="s">
        <v>2648</v>
      </c>
    </row>
    <row r="44" spans="1:8" ht="43.5" x14ac:dyDescent="0.35">
      <c r="A44" s="10" t="s">
        <v>1013</v>
      </c>
      <c r="B44" s="9" t="s">
        <v>2279</v>
      </c>
      <c r="C44" s="9" t="s">
        <v>1014</v>
      </c>
      <c r="D44" s="10" t="s">
        <v>435</v>
      </c>
      <c r="E44" s="10" t="s">
        <v>470</v>
      </c>
      <c r="F44" s="9" t="s">
        <v>1017</v>
      </c>
      <c r="G44" s="10" t="s">
        <v>2655</v>
      </c>
      <c r="H44" s="9" t="s">
        <v>2656</v>
      </c>
    </row>
    <row r="45" spans="1:8" ht="43.5" x14ac:dyDescent="0.35">
      <c r="A45" s="10" t="s">
        <v>1018</v>
      </c>
      <c r="B45" s="9" t="s">
        <v>2279</v>
      </c>
      <c r="C45" s="9" t="s">
        <v>1019</v>
      </c>
      <c r="D45" s="10" t="s">
        <v>435</v>
      </c>
      <c r="E45" s="10" t="s">
        <v>470</v>
      </c>
      <c r="F45" s="9" t="s">
        <v>1022</v>
      </c>
      <c r="G45" s="10" t="s">
        <v>2655</v>
      </c>
      <c r="H45" s="9" t="s">
        <v>2656</v>
      </c>
    </row>
    <row r="46" spans="1:8" ht="43.5" x14ac:dyDescent="0.35">
      <c r="A46" s="10" t="s">
        <v>1023</v>
      </c>
      <c r="B46" s="9" t="s">
        <v>2279</v>
      </c>
      <c r="C46" s="9" t="s">
        <v>1024</v>
      </c>
      <c r="D46" s="10" t="s">
        <v>435</v>
      </c>
      <c r="E46" s="10" t="s">
        <v>470</v>
      </c>
      <c r="F46" s="9" t="s">
        <v>1028</v>
      </c>
      <c r="G46" s="10" t="s">
        <v>2494</v>
      </c>
      <c r="H46" s="9" t="s">
        <v>2615</v>
      </c>
    </row>
    <row r="47" spans="1:8" ht="58" x14ac:dyDescent="0.35">
      <c r="A47" s="10" t="s">
        <v>1029</v>
      </c>
      <c r="B47" s="9" t="s">
        <v>2279</v>
      </c>
      <c r="C47" s="9" t="s">
        <v>1030</v>
      </c>
      <c r="D47" s="10" t="s">
        <v>435</v>
      </c>
      <c r="E47" s="10" t="s">
        <v>470</v>
      </c>
      <c r="F47" s="9" t="s">
        <v>1035</v>
      </c>
      <c r="G47" s="10" t="s">
        <v>2663</v>
      </c>
      <c r="H47" s="9" t="s">
        <v>2664</v>
      </c>
    </row>
    <row r="48" spans="1:8" ht="58" x14ac:dyDescent="0.35">
      <c r="A48" s="10" t="s">
        <v>1036</v>
      </c>
      <c r="B48" s="9" t="s">
        <v>2279</v>
      </c>
      <c r="C48" s="9" t="s">
        <v>1037</v>
      </c>
      <c r="D48" s="10" t="s">
        <v>484</v>
      </c>
      <c r="E48" s="10" t="s">
        <v>470</v>
      </c>
      <c r="F48" s="9" t="s">
        <v>1040</v>
      </c>
      <c r="G48" s="10" t="s">
        <v>2663</v>
      </c>
      <c r="H48" s="9" t="s">
        <v>2664</v>
      </c>
    </row>
    <row r="49" spans="1:8" ht="43.5" x14ac:dyDescent="0.35">
      <c r="A49" s="10" t="s">
        <v>1041</v>
      </c>
      <c r="B49" s="9" t="s">
        <v>2279</v>
      </c>
      <c r="C49" s="9" t="s">
        <v>1042</v>
      </c>
      <c r="D49" s="10" t="s">
        <v>435</v>
      </c>
      <c r="E49" s="10" t="s">
        <v>470</v>
      </c>
      <c r="F49" s="9" t="s">
        <v>1046</v>
      </c>
      <c r="G49" s="10" t="s">
        <v>2494</v>
      </c>
      <c r="H49" s="9" t="s">
        <v>2615</v>
      </c>
    </row>
    <row r="50" spans="1:8" ht="29" x14ac:dyDescent="0.35">
      <c r="A50" s="10" t="s">
        <v>1047</v>
      </c>
      <c r="B50" s="9" t="s">
        <v>2279</v>
      </c>
      <c r="C50" s="9" t="s">
        <v>798</v>
      </c>
      <c r="D50" s="10" t="s">
        <v>538</v>
      </c>
      <c r="E50" s="10" t="s">
        <v>470</v>
      </c>
      <c r="F50" s="9" t="s">
        <v>1049</v>
      </c>
      <c r="G50" s="10" t="s">
        <v>2681</v>
      </c>
      <c r="H50" s="9" t="s">
        <v>2682</v>
      </c>
    </row>
    <row r="51" spans="1:8" ht="43.5" x14ac:dyDescent="0.35">
      <c r="A51" s="10" t="s">
        <v>1050</v>
      </c>
      <c r="B51" s="9" t="s">
        <v>2279</v>
      </c>
      <c r="C51" s="9" t="s">
        <v>836</v>
      </c>
      <c r="D51" s="10" t="s">
        <v>484</v>
      </c>
      <c r="E51" s="10" t="s">
        <v>470</v>
      </c>
      <c r="F51" s="9" t="s">
        <v>1053</v>
      </c>
      <c r="G51" s="10" t="s">
        <v>2673</v>
      </c>
      <c r="H51" s="9" t="s">
        <v>2674</v>
      </c>
    </row>
    <row r="52" spans="1:8" ht="43.5" x14ac:dyDescent="0.35">
      <c r="A52" s="10" t="s">
        <v>1054</v>
      </c>
      <c r="B52" s="9" t="s">
        <v>2279</v>
      </c>
      <c r="C52" s="9" t="s">
        <v>1055</v>
      </c>
      <c r="D52" s="10" t="s">
        <v>435</v>
      </c>
      <c r="E52" s="10" t="s">
        <v>470</v>
      </c>
      <c r="F52" s="9" t="s">
        <v>1060</v>
      </c>
      <c r="G52" s="10" t="s">
        <v>2673</v>
      </c>
      <c r="H52" s="9" t="s">
        <v>2674</v>
      </c>
    </row>
    <row r="53" spans="1:8" ht="43.5" x14ac:dyDescent="0.35">
      <c r="A53" s="10" t="s">
        <v>1064</v>
      </c>
      <c r="B53" s="9" t="s">
        <v>2299</v>
      </c>
      <c r="C53" s="9" t="s">
        <v>1065</v>
      </c>
      <c r="D53" s="10" t="s">
        <v>435</v>
      </c>
      <c r="E53" s="10" t="s">
        <v>470</v>
      </c>
      <c r="F53" s="9" t="s">
        <v>1071</v>
      </c>
      <c r="G53" s="10" t="s">
        <v>2497</v>
      </c>
      <c r="H53" s="9" t="s">
        <v>2689</v>
      </c>
    </row>
    <row r="54" spans="1:8" ht="29" x14ac:dyDescent="0.35">
      <c r="A54" s="10" t="s">
        <v>1130</v>
      </c>
      <c r="B54" s="9" t="s">
        <v>2299</v>
      </c>
      <c r="C54" s="9" t="s">
        <v>1131</v>
      </c>
      <c r="D54" s="10" t="s">
        <v>538</v>
      </c>
      <c r="E54" s="10" t="s">
        <v>470</v>
      </c>
      <c r="F54" s="9" t="s">
        <v>1136</v>
      </c>
      <c r="G54" s="10" t="s">
        <v>2497</v>
      </c>
      <c r="H54" s="9" t="s">
        <v>2689</v>
      </c>
    </row>
    <row r="55" spans="1:8" ht="29" x14ac:dyDescent="0.35">
      <c r="A55" s="10" t="s">
        <v>1169</v>
      </c>
      <c r="B55" s="9" t="s">
        <v>2306</v>
      </c>
      <c r="C55" s="9" t="s">
        <v>1170</v>
      </c>
      <c r="D55" s="10" t="s">
        <v>435</v>
      </c>
      <c r="E55" s="10" t="s">
        <v>470</v>
      </c>
      <c r="F55" s="9" t="s">
        <v>1176</v>
      </c>
      <c r="G55" s="10" t="s">
        <v>2411</v>
      </c>
      <c r="H55" s="9" t="s">
        <v>2773</v>
      </c>
    </row>
    <row r="56" spans="1:8" ht="29" x14ac:dyDescent="0.35">
      <c r="A56" s="10" t="s">
        <v>207</v>
      </c>
      <c r="B56" s="9" t="s">
        <v>2306</v>
      </c>
      <c r="C56" s="9" t="s">
        <v>1190</v>
      </c>
      <c r="D56" s="10" t="s">
        <v>435</v>
      </c>
      <c r="E56" s="10" t="s">
        <v>678</v>
      </c>
      <c r="F56" s="9" t="s">
        <v>1195</v>
      </c>
      <c r="G56" s="10" t="s">
        <v>55</v>
      </c>
      <c r="H56" s="9" t="s">
        <v>2835</v>
      </c>
    </row>
    <row r="57" spans="1:8" ht="29" x14ac:dyDescent="0.35">
      <c r="A57" s="10" t="s">
        <v>1196</v>
      </c>
      <c r="B57" s="9" t="s">
        <v>2306</v>
      </c>
      <c r="C57" s="9" t="s">
        <v>1197</v>
      </c>
      <c r="D57" s="10" t="s">
        <v>538</v>
      </c>
      <c r="E57" s="10" t="s">
        <v>470</v>
      </c>
      <c r="F57" s="9" t="s">
        <v>1201</v>
      </c>
      <c r="G57" s="10" t="s">
        <v>2696</v>
      </c>
      <c r="H57" s="9" t="s">
        <v>2697</v>
      </c>
    </row>
    <row r="58" spans="1:8" ht="29" x14ac:dyDescent="0.35">
      <c r="A58" s="10" t="s">
        <v>211</v>
      </c>
      <c r="B58" s="9" t="s">
        <v>2306</v>
      </c>
      <c r="C58" s="9" t="s">
        <v>1202</v>
      </c>
      <c r="D58" s="10" t="s">
        <v>435</v>
      </c>
      <c r="E58" s="10" t="s">
        <v>678</v>
      </c>
      <c r="F58" s="9" t="s">
        <v>1206</v>
      </c>
      <c r="G58" s="10" t="s">
        <v>55</v>
      </c>
      <c r="H58" s="9" t="s">
        <v>2836</v>
      </c>
    </row>
    <row r="59" spans="1:8" ht="29" x14ac:dyDescent="0.35">
      <c r="A59" s="10" t="s">
        <v>1242</v>
      </c>
      <c r="B59" s="9" t="s">
        <v>2306</v>
      </c>
      <c r="C59" s="9" t="s">
        <v>1243</v>
      </c>
      <c r="D59" s="10" t="s">
        <v>484</v>
      </c>
      <c r="E59" s="10" t="s">
        <v>470</v>
      </c>
      <c r="F59" s="9" t="s">
        <v>1247</v>
      </c>
      <c r="G59" s="10" t="s">
        <v>2704</v>
      </c>
      <c r="H59" s="9" t="s">
        <v>2705</v>
      </c>
    </row>
    <row r="60" spans="1:8" x14ac:dyDescent="0.35">
      <c r="A60" s="10" t="s">
        <v>1260</v>
      </c>
      <c r="B60" s="9" t="s">
        <v>2306</v>
      </c>
      <c r="C60" s="9" t="s">
        <v>1261</v>
      </c>
      <c r="D60" s="10" t="s">
        <v>484</v>
      </c>
      <c r="E60" s="10" t="s">
        <v>470</v>
      </c>
      <c r="F60" s="9" t="s">
        <v>1265</v>
      </c>
      <c r="G60" s="10" t="s">
        <v>2712</v>
      </c>
      <c r="H60" s="9" t="s">
        <v>2713</v>
      </c>
    </row>
    <row r="61" spans="1:8" ht="29" x14ac:dyDescent="0.35">
      <c r="A61" s="10" t="s">
        <v>221</v>
      </c>
      <c r="B61" s="9" t="s">
        <v>2326</v>
      </c>
      <c r="C61" s="9" t="s">
        <v>1280</v>
      </c>
      <c r="D61" s="10" t="s">
        <v>435</v>
      </c>
      <c r="E61" s="10" t="s">
        <v>470</v>
      </c>
      <c r="F61" s="9" t="s">
        <v>1286</v>
      </c>
      <c r="G61" s="10" t="s">
        <v>2332</v>
      </c>
      <c r="H61" s="9" t="s">
        <v>2719</v>
      </c>
    </row>
    <row r="62" spans="1:8" ht="29" x14ac:dyDescent="0.35">
      <c r="A62" s="10" t="s">
        <v>1287</v>
      </c>
      <c r="B62" s="9" t="s">
        <v>2326</v>
      </c>
      <c r="C62" s="9" t="s">
        <v>863</v>
      </c>
      <c r="D62" s="10" t="s">
        <v>435</v>
      </c>
      <c r="E62" s="10" t="s">
        <v>678</v>
      </c>
      <c r="F62" s="9" t="s">
        <v>1292</v>
      </c>
      <c r="G62" s="10" t="s">
        <v>2332</v>
      </c>
      <c r="H62" s="9" t="s">
        <v>2719</v>
      </c>
    </row>
    <row r="63" spans="1:8" ht="29" x14ac:dyDescent="0.35">
      <c r="A63" s="10" t="s">
        <v>1293</v>
      </c>
      <c r="B63" s="9" t="s">
        <v>2326</v>
      </c>
      <c r="C63" s="9" t="s">
        <v>1294</v>
      </c>
      <c r="D63" s="10" t="s">
        <v>484</v>
      </c>
      <c r="E63" s="10" t="s">
        <v>678</v>
      </c>
      <c r="F63" s="9" t="s">
        <v>1292</v>
      </c>
      <c r="G63" s="10" t="s">
        <v>2332</v>
      </c>
      <c r="H63" s="9" t="s">
        <v>2719</v>
      </c>
    </row>
    <row r="64" spans="1:8" ht="29" x14ac:dyDescent="0.35">
      <c r="A64" s="10" t="s">
        <v>1298</v>
      </c>
      <c r="B64" s="9" t="s">
        <v>2326</v>
      </c>
      <c r="C64" s="9" t="s">
        <v>1299</v>
      </c>
      <c r="D64" s="10" t="s">
        <v>435</v>
      </c>
      <c r="E64" s="10" t="s">
        <v>678</v>
      </c>
      <c r="F64" s="9" t="s">
        <v>1292</v>
      </c>
      <c r="G64" s="10" t="s">
        <v>2332</v>
      </c>
      <c r="H64" s="9" t="s">
        <v>2719</v>
      </c>
    </row>
    <row r="65" spans="1:8" ht="29" x14ac:dyDescent="0.35">
      <c r="A65" s="10" t="s">
        <v>1304</v>
      </c>
      <c r="B65" s="9" t="s">
        <v>2326</v>
      </c>
      <c r="C65" s="9" t="s">
        <v>1305</v>
      </c>
      <c r="D65" s="10" t="s">
        <v>484</v>
      </c>
      <c r="E65" s="10" t="s">
        <v>678</v>
      </c>
      <c r="F65" s="9" t="s">
        <v>1292</v>
      </c>
      <c r="G65" s="10" t="s">
        <v>2332</v>
      </c>
      <c r="H65" s="9" t="s">
        <v>2719</v>
      </c>
    </row>
    <row r="66" spans="1:8" ht="29" x14ac:dyDescent="0.35">
      <c r="A66" s="10" t="s">
        <v>1311</v>
      </c>
      <c r="B66" s="9" t="s">
        <v>2326</v>
      </c>
      <c r="C66" s="9" t="s">
        <v>1312</v>
      </c>
      <c r="D66" s="10" t="s">
        <v>538</v>
      </c>
      <c r="E66" s="10" t="s">
        <v>678</v>
      </c>
      <c r="F66" s="9" t="s">
        <v>1292</v>
      </c>
      <c r="G66" s="10" t="s">
        <v>2332</v>
      </c>
      <c r="H66" s="9" t="s">
        <v>2719</v>
      </c>
    </row>
    <row r="67" spans="1:8" ht="29" x14ac:dyDescent="0.35">
      <c r="A67" s="10" t="s">
        <v>1315</v>
      </c>
      <c r="B67" s="9" t="s">
        <v>2326</v>
      </c>
      <c r="C67" s="9" t="s">
        <v>1316</v>
      </c>
      <c r="D67" s="10" t="s">
        <v>435</v>
      </c>
      <c r="E67" s="10" t="s">
        <v>678</v>
      </c>
      <c r="F67" s="9" t="s">
        <v>1292</v>
      </c>
      <c r="G67" s="10" t="s">
        <v>2332</v>
      </c>
      <c r="H67" s="9" t="s">
        <v>2719</v>
      </c>
    </row>
    <row r="68" spans="1:8" ht="29" x14ac:dyDescent="0.35">
      <c r="A68" s="10" t="s">
        <v>1321</v>
      </c>
      <c r="B68" s="9" t="s">
        <v>2326</v>
      </c>
      <c r="C68" s="9" t="s">
        <v>1322</v>
      </c>
      <c r="D68" s="10" t="s">
        <v>484</v>
      </c>
      <c r="E68" s="10" t="s">
        <v>678</v>
      </c>
      <c r="F68" s="9" t="s">
        <v>1292</v>
      </c>
      <c r="G68" s="10" t="s">
        <v>2332</v>
      </c>
      <c r="H68" s="9" t="s">
        <v>2719</v>
      </c>
    </row>
    <row r="69" spans="1:8" ht="29" x14ac:dyDescent="0.35">
      <c r="A69" s="10" t="s">
        <v>1332</v>
      </c>
      <c r="B69" s="9" t="s">
        <v>2326</v>
      </c>
      <c r="C69" s="9" t="s">
        <v>1333</v>
      </c>
      <c r="D69" s="10" t="s">
        <v>435</v>
      </c>
      <c r="E69" s="10" t="s">
        <v>678</v>
      </c>
      <c r="F69" s="9" t="s">
        <v>1292</v>
      </c>
      <c r="G69" s="10" t="s">
        <v>2332</v>
      </c>
      <c r="H69" s="9" t="s">
        <v>2719</v>
      </c>
    </row>
    <row r="70" spans="1:8" ht="29" x14ac:dyDescent="0.35">
      <c r="A70" s="10" t="s">
        <v>1336</v>
      </c>
      <c r="B70" s="9" t="s">
        <v>2326</v>
      </c>
      <c r="C70" s="9" t="s">
        <v>1337</v>
      </c>
      <c r="D70" s="10" t="s">
        <v>538</v>
      </c>
      <c r="E70" s="10" t="s">
        <v>678</v>
      </c>
      <c r="F70" s="9" t="s">
        <v>1292</v>
      </c>
      <c r="G70" s="10" t="s">
        <v>2332</v>
      </c>
      <c r="H70" s="9" t="s">
        <v>2719</v>
      </c>
    </row>
    <row r="71" spans="1:8" ht="29" x14ac:dyDescent="0.35">
      <c r="A71" s="10" t="s">
        <v>1340</v>
      </c>
      <c r="B71" s="9" t="s">
        <v>2326</v>
      </c>
      <c r="C71" s="9" t="s">
        <v>1341</v>
      </c>
      <c r="D71" s="10" t="s">
        <v>435</v>
      </c>
      <c r="E71" s="10" t="s">
        <v>678</v>
      </c>
      <c r="F71" s="9" t="s">
        <v>1292</v>
      </c>
      <c r="G71" s="10" t="s">
        <v>2332</v>
      </c>
      <c r="H71" s="9" t="s">
        <v>2719</v>
      </c>
    </row>
    <row r="72" spans="1:8" ht="29" x14ac:dyDescent="0.35">
      <c r="A72" s="10" t="s">
        <v>235</v>
      </c>
      <c r="B72" s="9" t="s">
        <v>2326</v>
      </c>
      <c r="C72" s="9" t="s">
        <v>1345</v>
      </c>
      <c r="D72" s="10" t="s">
        <v>435</v>
      </c>
      <c r="E72" s="10" t="s">
        <v>678</v>
      </c>
      <c r="F72" s="9" t="s">
        <v>1292</v>
      </c>
      <c r="G72" s="10" t="s">
        <v>2332</v>
      </c>
      <c r="H72" s="9" t="s">
        <v>2719</v>
      </c>
    </row>
    <row r="73" spans="1:8" ht="29" x14ac:dyDescent="0.35">
      <c r="A73" s="10" t="s">
        <v>1350</v>
      </c>
      <c r="B73" s="9" t="s">
        <v>2326</v>
      </c>
      <c r="C73" s="9" t="s">
        <v>1351</v>
      </c>
      <c r="D73" s="10" t="s">
        <v>538</v>
      </c>
      <c r="E73" s="10" t="s">
        <v>678</v>
      </c>
      <c r="F73" s="9" t="s">
        <v>1292</v>
      </c>
      <c r="G73" s="10" t="s">
        <v>2332</v>
      </c>
      <c r="H73" s="9" t="s">
        <v>2719</v>
      </c>
    </row>
    <row r="74" spans="1:8" ht="29" x14ac:dyDescent="0.35">
      <c r="A74" s="10" t="s">
        <v>238</v>
      </c>
      <c r="B74" s="9" t="s">
        <v>2326</v>
      </c>
      <c r="C74" s="9" t="s">
        <v>1355</v>
      </c>
      <c r="D74" s="10" t="s">
        <v>484</v>
      </c>
      <c r="E74" s="10" t="s">
        <v>678</v>
      </c>
      <c r="F74" s="9" t="s">
        <v>1292</v>
      </c>
      <c r="G74" s="10" t="s">
        <v>2332</v>
      </c>
      <c r="H74" s="9" t="s">
        <v>2719</v>
      </c>
    </row>
    <row r="75" spans="1:8" ht="29" x14ac:dyDescent="0.35">
      <c r="A75" s="10" t="s">
        <v>1358</v>
      </c>
      <c r="B75" s="9" t="s">
        <v>2340</v>
      </c>
      <c r="C75" s="9" t="s">
        <v>1359</v>
      </c>
      <c r="D75" s="10" t="s">
        <v>435</v>
      </c>
      <c r="E75" s="10" t="s">
        <v>678</v>
      </c>
      <c r="F75" s="9" t="s">
        <v>1365</v>
      </c>
      <c r="G75" s="10" t="s">
        <v>55</v>
      </c>
      <c r="H75" s="9" t="s">
        <v>2837</v>
      </c>
    </row>
    <row r="76" spans="1:8" ht="29" x14ac:dyDescent="0.35">
      <c r="A76" s="10" t="s">
        <v>1366</v>
      </c>
      <c r="B76" s="9" t="s">
        <v>2340</v>
      </c>
      <c r="C76" s="9" t="s">
        <v>178</v>
      </c>
      <c r="D76" s="10" t="s">
        <v>435</v>
      </c>
      <c r="E76" s="10" t="s">
        <v>678</v>
      </c>
      <c r="F76" s="9" t="s">
        <v>1365</v>
      </c>
      <c r="G76" s="10" t="s">
        <v>55</v>
      </c>
      <c r="H76" s="9" t="s">
        <v>2837</v>
      </c>
    </row>
    <row r="77" spans="1:8" ht="29" x14ac:dyDescent="0.35">
      <c r="A77" s="10" t="s">
        <v>1371</v>
      </c>
      <c r="B77" s="9" t="s">
        <v>2340</v>
      </c>
      <c r="C77" s="9" t="s">
        <v>1079</v>
      </c>
      <c r="D77" s="10" t="s">
        <v>435</v>
      </c>
      <c r="E77" s="10" t="s">
        <v>678</v>
      </c>
      <c r="F77" s="9" t="s">
        <v>1365</v>
      </c>
      <c r="G77" s="10" t="s">
        <v>55</v>
      </c>
      <c r="H77" s="9" t="s">
        <v>2837</v>
      </c>
    </row>
    <row r="78" spans="1:8" ht="29" x14ac:dyDescent="0.35">
      <c r="A78" s="10" t="s">
        <v>1375</v>
      </c>
      <c r="B78" s="9" t="s">
        <v>2340</v>
      </c>
      <c r="C78" s="9" t="s">
        <v>1376</v>
      </c>
      <c r="D78" s="10" t="s">
        <v>435</v>
      </c>
      <c r="E78" s="10" t="s">
        <v>470</v>
      </c>
      <c r="F78" s="9" t="s">
        <v>1380</v>
      </c>
      <c r="G78" s="10" t="s">
        <v>2343</v>
      </c>
      <c r="H78" s="9" t="s">
        <v>2725</v>
      </c>
    </row>
    <row r="79" spans="1:8" ht="29" x14ac:dyDescent="0.35">
      <c r="A79" s="10" t="s">
        <v>1381</v>
      </c>
      <c r="B79" s="9" t="s">
        <v>2340</v>
      </c>
      <c r="C79" s="9" t="s">
        <v>1382</v>
      </c>
      <c r="D79" s="10" t="s">
        <v>484</v>
      </c>
      <c r="E79" s="10" t="s">
        <v>470</v>
      </c>
      <c r="F79" s="9" t="s">
        <v>1380</v>
      </c>
      <c r="G79" s="10" t="s">
        <v>2343</v>
      </c>
      <c r="H79" s="9" t="s">
        <v>2725</v>
      </c>
    </row>
    <row r="80" spans="1:8" ht="29" x14ac:dyDescent="0.35">
      <c r="A80" s="10" t="s">
        <v>250</v>
      </c>
      <c r="B80" s="9" t="s">
        <v>2340</v>
      </c>
      <c r="C80" s="9" t="s">
        <v>1396</v>
      </c>
      <c r="D80" s="10" t="s">
        <v>435</v>
      </c>
      <c r="E80" s="10" t="s">
        <v>470</v>
      </c>
      <c r="F80" s="9" t="s">
        <v>1380</v>
      </c>
      <c r="G80" s="10" t="s">
        <v>2343</v>
      </c>
      <c r="H80" s="9" t="s">
        <v>2725</v>
      </c>
    </row>
    <row r="81" spans="1:8" ht="29" x14ac:dyDescent="0.35">
      <c r="A81" s="10" t="s">
        <v>1400</v>
      </c>
      <c r="B81" s="9" t="s">
        <v>2340</v>
      </c>
      <c r="C81" s="9" t="s">
        <v>1401</v>
      </c>
      <c r="D81" s="10" t="s">
        <v>435</v>
      </c>
      <c r="E81" s="10" t="s">
        <v>470</v>
      </c>
      <c r="F81" s="9" t="s">
        <v>1380</v>
      </c>
      <c r="G81" s="10" t="s">
        <v>2343</v>
      </c>
      <c r="H81" s="9" t="s">
        <v>2725</v>
      </c>
    </row>
    <row r="82" spans="1:8" ht="29" x14ac:dyDescent="0.35">
      <c r="A82" s="10" t="s">
        <v>1407</v>
      </c>
      <c r="B82" s="9" t="s">
        <v>2340</v>
      </c>
      <c r="C82" s="9" t="s">
        <v>1408</v>
      </c>
      <c r="D82" s="10" t="s">
        <v>484</v>
      </c>
      <c r="E82" s="10" t="s">
        <v>678</v>
      </c>
      <c r="F82" s="9" t="s">
        <v>1292</v>
      </c>
      <c r="G82" s="10" t="s">
        <v>2343</v>
      </c>
      <c r="H82" s="9" t="s">
        <v>2725</v>
      </c>
    </row>
    <row r="83" spans="1:8" ht="29" x14ac:dyDescent="0.35">
      <c r="A83" s="10" t="s">
        <v>1413</v>
      </c>
      <c r="B83" s="9" t="s">
        <v>2340</v>
      </c>
      <c r="C83" s="9" t="s">
        <v>1414</v>
      </c>
      <c r="D83" s="10" t="s">
        <v>435</v>
      </c>
      <c r="E83" s="10" t="s">
        <v>678</v>
      </c>
      <c r="F83" s="9" t="s">
        <v>1292</v>
      </c>
      <c r="G83" s="10" t="s">
        <v>2343</v>
      </c>
      <c r="H83" s="9" t="s">
        <v>2725</v>
      </c>
    </row>
    <row r="84" spans="1:8" ht="29" x14ac:dyDescent="0.35">
      <c r="A84" s="10" t="s">
        <v>1418</v>
      </c>
      <c r="B84" s="9" t="s">
        <v>2348</v>
      </c>
      <c r="C84" s="9" t="s">
        <v>1419</v>
      </c>
      <c r="D84" s="10" t="s">
        <v>435</v>
      </c>
      <c r="E84" s="10" t="s">
        <v>470</v>
      </c>
      <c r="F84" s="9" t="s">
        <v>1424</v>
      </c>
      <c r="G84" s="10" t="s">
        <v>2354</v>
      </c>
      <c r="H84" s="9" t="s">
        <v>2732</v>
      </c>
    </row>
    <row r="85" spans="1:8" ht="29" x14ac:dyDescent="0.35">
      <c r="A85" s="10" t="s">
        <v>1425</v>
      </c>
      <c r="B85" s="9" t="s">
        <v>2348</v>
      </c>
      <c r="C85" s="9" t="s">
        <v>1426</v>
      </c>
      <c r="D85" s="10" t="s">
        <v>435</v>
      </c>
      <c r="E85" s="10" t="s">
        <v>678</v>
      </c>
      <c r="F85" s="9" t="s">
        <v>1292</v>
      </c>
      <c r="G85" s="10" t="s">
        <v>2354</v>
      </c>
      <c r="H85" s="9" t="s">
        <v>2732</v>
      </c>
    </row>
    <row r="86" spans="1:8" ht="29" x14ac:dyDescent="0.35">
      <c r="A86" s="10" t="s">
        <v>1431</v>
      </c>
      <c r="B86" s="9" t="s">
        <v>2348</v>
      </c>
      <c r="C86" s="9" t="s">
        <v>1432</v>
      </c>
      <c r="D86" s="10" t="s">
        <v>435</v>
      </c>
      <c r="E86" s="10" t="s">
        <v>678</v>
      </c>
      <c r="F86" s="9" t="s">
        <v>1292</v>
      </c>
      <c r="G86" s="10" t="s">
        <v>2354</v>
      </c>
      <c r="H86" s="9" t="s">
        <v>2732</v>
      </c>
    </row>
    <row r="87" spans="1:8" ht="29" x14ac:dyDescent="0.35">
      <c r="A87" s="10" t="s">
        <v>1449</v>
      </c>
      <c r="B87" s="9" t="s">
        <v>2348</v>
      </c>
      <c r="C87" s="9" t="s">
        <v>1450</v>
      </c>
      <c r="D87" s="10" t="s">
        <v>435</v>
      </c>
      <c r="E87" s="10" t="s">
        <v>678</v>
      </c>
      <c r="F87" s="9" t="s">
        <v>1292</v>
      </c>
      <c r="G87" s="10" t="s">
        <v>2354</v>
      </c>
      <c r="H87" s="9" t="s">
        <v>2732</v>
      </c>
    </row>
    <row r="88" spans="1:8" ht="29" x14ac:dyDescent="0.35">
      <c r="A88" s="10" t="s">
        <v>1452</v>
      </c>
      <c r="B88" s="9" t="s">
        <v>2348</v>
      </c>
      <c r="C88" s="9" t="s">
        <v>1453</v>
      </c>
      <c r="D88" s="10" t="s">
        <v>435</v>
      </c>
      <c r="E88" s="10" t="s">
        <v>678</v>
      </c>
      <c r="F88" s="9" t="s">
        <v>1292</v>
      </c>
      <c r="G88" s="10" t="s">
        <v>2354</v>
      </c>
      <c r="H88" s="9" t="s">
        <v>2732</v>
      </c>
    </row>
    <row r="89" spans="1:8" ht="29" x14ac:dyDescent="0.35">
      <c r="A89" s="10" t="s">
        <v>1467</v>
      </c>
      <c r="B89" s="9" t="s">
        <v>2348</v>
      </c>
      <c r="C89" s="9" t="s">
        <v>1468</v>
      </c>
      <c r="D89" s="10" t="s">
        <v>435</v>
      </c>
      <c r="E89" s="10" t="s">
        <v>678</v>
      </c>
      <c r="F89" s="9" t="s">
        <v>1292</v>
      </c>
      <c r="G89" s="10" t="s">
        <v>2354</v>
      </c>
      <c r="H89" s="9" t="s">
        <v>2732</v>
      </c>
    </row>
    <row r="90" spans="1:8" ht="29" x14ac:dyDescent="0.35">
      <c r="A90" s="10" t="s">
        <v>1471</v>
      </c>
      <c r="B90" s="9" t="s">
        <v>2348</v>
      </c>
      <c r="C90" s="9" t="s">
        <v>1472</v>
      </c>
      <c r="D90" s="10" t="s">
        <v>435</v>
      </c>
      <c r="E90" s="10" t="s">
        <v>678</v>
      </c>
      <c r="F90" s="9" t="s">
        <v>1292</v>
      </c>
      <c r="G90" s="10" t="s">
        <v>2354</v>
      </c>
      <c r="H90" s="9" t="s">
        <v>2732</v>
      </c>
    </row>
    <row r="91" spans="1:8" ht="29" x14ac:dyDescent="0.35">
      <c r="A91" s="10" t="s">
        <v>1475</v>
      </c>
      <c r="B91" s="9" t="s">
        <v>2348</v>
      </c>
      <c r="C91" s="9" t="s">
        <v>1476</v>
      </c>
      <c r="D91" s="10" t="s">
        <v>538</v>
      </c>
      <c r="E91" s="10" t="s">
        <v>678</v>
      </c>
      <c r="F91" s="9" t="s">
        <v>1292</v>
      </c>
      <c r="G91" s="10" t="s">
        <v>2354</v>
      </c>
      <c r="H91" s="9" t="s">
        <v>2732</v>
      </c>
    </row>
    <row r="92" spans="1:8" ht="29" x14ac:dyDescent="0.35">
      <c r="A92" s="10" t="s">
        <v>1480</v>
      </c>
      <c r="B92" s="9" t="s">
        <v>2348</v>
      </c>
      <c r="C92" s="9" t="s">
        <v>1481</v>
      </c>
      <c r="D92" s="10" t="s">
        <v>484</v>
      </c>
      <c r="E92" s="10" t="s">
        <v>678</v>
      </c>
      <c r="F92" s="9" t="s">
        <v>1292</v>
      </c>
      <c r="G92" s="10" t="s">
        <v>2354</v>
      </c>
      <c r="H92" s="9" t="s">
        <v>2732</v>
      </c>
    </row>
    <row r="93" spans="1:8" ht="29" x14ac:dyDescent="0.35">
      <c r="A93" s="10" t="s">
        <v>1485</v>
      </c>
      <c r="B93" s="9" t="s">
        <v>2348</v>
      </c>
      <c r="C93" s="9" t="s">
        <v>1486</v>
      </c>
      <c r="D93" s="10" t="s">
        <v>538</v>
      </c>
      <c r="E93" s="10" t="s">
        <v>678</v>
      </c>
      <c r="F93" s="9" t="s">
        <v>1292</v>
      </c>
      <c r="G93" s="10" t="s">
        <v>2354</v>
      </c>
      <c r="H93" s="9" t="s">
        <v>2732</v>
      </c>
    </row>
    <row r="94" spans="1:8" ht="29" x14ac:dyDescent="0.35">
      <c r="A94" s="10" t="s">
        <v>1489</v>
      </c>
      <c r="B94" s="9" t="s">
        <v>2348</v>
      </c>
      <c r="C94" s="9" t="s">
        <v>1490</v>
      </c>
      <c r="D94" s="10" t="s">
        <v>484</v>
      </c>
      <c r="E94" s="10" t="s">
        <v>678</v>
      </c>
      <c r="F94" s="9" t="s">
        <v>1292</v>
      </c>
      <c r="G94" s="10" t="s">
        <v>2354</v>
      </c>
      <c r="H94" s="9" t="s">
        <v>2732</v>
      </c>
    </row>
    <row r="95" spans="1:8" x14ac:dyDescent="0.35">
      <c r="A95" s="10" t="s">
        <v>1498</v>
      </c>
      <c r="B95" s="9" t="s">
        <v>2348</v>
      </c>
      <c r="C95" s="9" t="s">
        <v>1499</v>
      </c>
      <c r="D95" s="10" t="s">
        <v>538</v>
      </c>
      <c r="E95" s="10" t="s">
        <v>470</v>
      </c>
      <c r="F95" s="9" t="s">
        <v>1501</v>
      </c>
      <c r="G95" s="10" t="s">
        <v>2738</v>
      </c>
      <c r="H95" s="9" t="s">
        <v>2739</v>
      </c>
    </row>
    <row r="96" spans="1:8" ht="29" x14ac:dyDescent="0.35">
      <c r="A96" s="10" t="s">
        <v>1502</v>
      </c>
      <c r="B96" s="9" t="s">
        <v>2348</v>
      </c>
      <c r="C96" s="9" t="s">
        <v>1503</v>
      </c>
      <c r="D96" s="10" t="s">
        <v>538</v>
      </c>
      <c r="E96" s="10" t="s">
        <v>678</v>
      </c>
      <c r="F96" s="9" t="s">
        <v>1292</v>
      </c>
      <c r="G96" s="10" t="s">
        <v>2354</v>
      </c>
      <c r="H96" s="9" t="s">
        <v>2732</v>
      </c>
    </row>
    <row r="97" spans="1:8" ht="29" x14ac:dyDescent="0.35">
      <c r="A97" s="10" t="s">
        <v>1507</v>
      </c>
      <c r="B97" s="9" t="s">
        <v>2348</v>
      </c>
      <c r="C97" s="9" t="s">
        <v>1508</v>
      </c>
      <c r="D97" s="10" t="s">
        <v>435</v>
      </c>
      <c r="E97" s="10" t="s">
        <v>470</v>
      </c>
      <c r="F97" s="9" t="s">
        <v>1511</v>
      </c>
      <c r="G97" s="10" t="s">
        <v>2738</v>
      </c>
      <c r="H97" s="9" t="s">
        <v>2739</v>
      </c>
    </row>
    <row r="98" spans="1:8" ht="29" x14ac:dyDescent="0.35">
      <c r="A98" s="10" t="s">
        <v>1512</v>
      </c>
      <c r="B98" s="9" t="s">
        <v>2348</v>
      </c>
      <c r="C98" s="9" t="s">
        <v>1513</v>
      </c>
      <c r="D98" s="10" t="s">
        <v>435</v>
      </c>
      <c r="E98" s="10" t="s">
        <v>678</v>
      </c>
      <c r="F98" s="9" t="s">
        <v>1292</v>
      </c>
      <c r="G98" s="10" t="s">
        <v>2354</v>
      </c>
      <c r="H98" s="9" t="s">
        <v>2732</v>
      </c>
    </row>
    <row r="99" spans="1:8" ht="29" x14ac:dyDescent="0.35">
      <c r="A99" s="10" t="s">
        <v>1518</v>
      </c>
      <c r="B99" s="9" t="s">
        <v>2348</v>
      </c>
      <c r="C99" s="9" t="s">
        <v>1519</v>
      </c>
      <c r="D99" s="10" t="s">
        <v>484</v>
      </c>
      <c r="E99" s="10" t="s">
        <v>678</v>
      </c>
      <c r="F99" s="9" t="s">
        <v>1292</v>
      </c>
      <c r="G99" s="10" t="s">
        <v>2354</v>
      </c>
      <c r="H99" s="9" t="s">
        <v>2732</v>
      </c>
    </row>
    <row r="100" spans="1:8" ht="29" x14ac:dyDescent="0.35">
      <c r="A100" s="10" t="s">
        <v>1524</v>
      </c>
      <c r="B100" s="9" t="s">
        <v>2348</v>
      </c>
      <c r="C100" s="9" t="s">
        <v>1525</v>
      </c>
      <c r="D100" s="10" t="s">
        <v>484</v>
      </c>
      <c r="E100" s="10" t="s">
        <v>678</v>
      </c>
      <c r="F100" s="9" t="s">
        <v>1292</v>
      </c>
      <c r="G100" s="10" t="s">
        <v>2354</v>
      </c>
      <c r="H100" s="9" t="s">
        <v>2732</v>
      </c>
    </row>
    <row r="101" spans="1:8" ht="29" x14ac:dyDescent="0.35">
      <c r="A101" s="10" t="s">
        <v>1533</v>
      </c>
      <c r="B101" s="9" t="s">
        <v>2348</v>
      </c>
      <c r="C101" s="9" t="s">
        <v>851</v>
      </c>
      <c r="D101" s="10" t="s">
        <v>435</v>
      </c>
      <c r="E101" s="10" t="s">
        <v>678</v>
      </c>
      <c r="F101" s="9" t="s">
        <v>1292</v>
      </c>
      <c r="G101" s="10" t="s">
        <v>2354</v>
      </c>
      <c r="H101" s="9" t="s">
        <v>2732</v>
      </c>
    </row>
    <row r="102" spans="1:8" ht="29" x14ac:dyDescent="0.35">
      <c r="A102" s="10" t="s">
        <v>1536</v>
      </c>
      <c r="B102" s="9" t="s">
        <v>2348</v>
      </c>
      <c r="C102" s="9" t="s">
        <v>1537</v>
      </c>
      <c r="D102" s="10" t="s">
        <v>484</v>
      </c>
      <c r="E102" s="10" t="s">
        <v>678</v>
      </c>
      <c r="F102" s="9" t="s">
        <v>1292</v>
      </c>
      <c r="G102" s="10" t="s">
        <v>2354</v>
      </c>
      <c r="H102" s="9" t="s">
        <v>2732</v>
      </c>
    </row>
    <row r="103" spans="1:8" ht="29" x14ac:dyDescent="0.35">
      <c r="A103" s="10" t="s">
        <v>1546</v>
      </c>
      <c r="B103" s="9" t="s">
        <v>2369</v>
      </c>
      <c r="C103" s="9" t="s">
        <v>1547</v>
      </c>
      <c r="D103" s="10" t="s">
        <v>435</v>
      </c>
      <c r="E103" s="10" t="s">
        <v>470</v>
      </c>
      <c r="F103" s="9" t="s">
        <v>1380</v>
      </c>
      <c r="G103" s="10" t="s">
        <v>2411</v>
      </c>
      <c r="H103" s="9" t="s">
        <v>2773</v>
      </c>
    </row>
    <row r="104" spans="1:8" ht="29" x14ac:dyDescent="0.35">
      <c r="A104" s="10" t="s">
        <v>1551</v>
      </c>
      <c r="B104" s="9" t="s">
        <v>2369</v>
      </c>
      <c r="C104" s="9" t="s">
        <v>1552</v>
      </c>
      <c r="D104" s="10" t="s">
        <v>435</v>
      </c>
      <c r="E104" s="10" t="s">
        <v>470</v>
      </c>
      <c r="F104" s="9" t="s">
        <v>1555</v>
      </c>
      <c r="G104" s="10" t="s">
        <v>2423</v>
      </c>
      <c r="H104" s="9" t="s">
        <v>2780</v>
      </c>
    </row>
    <row r="105" spans="1:8" ht="29" x14ac:dyDescent="0.35">
      <c r="A105" s="10" t="s">
        <v>1560</v>
      </c>
      <c r="B105" s="9" t="s">
        <v>2369</v>
      </c>
      <c r="C105" s="9" t="s">
        <v>1561</v>
      </c>
      <c r="D105" s="10" t="s">
        <v>435</v>
      </c>
      <c r="E105" s="10" t="s">
        <v>470</v>
      </c>
      <c r="F105" s="9" t="s">
        <v>1565</v>
      </c>
      <c r="G105" s="10" t="s">
        <v>2376</v>
      </c>
      <c r="H105" s="9" t="s">
        <v>2746</v>
      </c>
    </row>
    <row r="106" spans="1:8" ht="29" x14ac:dyDescent="0.35">
      <c r="A106" s="10" t="s">
        <v>1566</v>
      </c>
      <c r="B106" s="9" t="s">
        <v>2369</v>
      </c>
      <c r="C106" s="9" t="s">
        <v>1567</v>
      </c>
      <c r="D106" s="10" t="s">
        <v>484</v>
      </c>
      <c r="E106" s="10" t="s">
        <v>470</v>
      </c>
      <c r="F106" s="9" t="s">
        <v>1565</v>
      </c>
      <c r="G106" s="10" t="s">
        <v>2376</v>
      </c>
      <c r="H106" s="9" t="s">
        <v>2746</v>
      </c>
    </row>
    <row r="107" spans="1:8" ht="29" x14ac:dyDescent="0.35">
      <c r="A107" s="10" t="s">
        <v>1571</v>
      </c>
      <c r="B107" s="9" t="s">
        <v>2369</v>
      </c>
      <c r="C107" s="9" t="s">
        <v>1572</v>
      </c>
      <c r="D107" s="10" t="s">
        <v>435</v>
      </c>
      <c r="E107" s="10" t="s">
        <v>470</v>
      </c>
      <c r="F107" s="9" t="s">
        <v>1565</v>
      </c>
      <c r="G107" s="10" t="s">
        <v>2376</v>
      </c>
      <c r="H107" s="9" t="s">
        <v>2746</v>
      </c>
    </row>
    <row r="108" spans="1:8" ht="29" x14ac:dyDescent="0.35">
      <c r="A108" s="10" t="s">
        <v>1576</v>
      </c>
      <c r="B108" s="9" t="s">
        <v>2369</v>
      </c>
      <c r="C108" s="9" t="s">
        <v>1577</v>
      </c>
      <c r="D108" s="10" t="s">
        <v>435</v>
      </c>
      <c r="E108" s="10" t="s">
        <v>470</v>
      </c>
      <c r="F108" s="9" t="s">
        <v>1565</v>
      </c>
      <c r="G108" s="10" t="s">
        <v>2376</v>
      </c>
      <c r="H108" s="9" t="s">
        <v>2746</v>
      </c>
    </row>
    <row r="109" spans="1:8" ht="29" x14ac:dyDescent="0.35">
      <c r="A109" s="10" t="s">
        <v>1582</v>
      </c>
      <c r="B109" s="9" t="s">
        <v>2369</v>
      </c>
      <c r="C109" s="9" t="s">
        <v>1583</v>
      </c>
      <c r="D109" s="10" t="s">
        <v>435</v>
      </c>
      <c r="E109" s="10" t="s">
        <v>470</v>
      </c>
      <c r="F109" s="9" t="s">
        <v>1565</v>
      </c>
      <c r="G109" s="10" t="s">
        <v>2376</v>
      </c>
      <c r="H109" s="9" t="s">
        <v>2746</v>
      </c>
    </row>
    <row r="110" spans="1:8" ht="29" x14ac:dyDescent="0.35">
      <c r="A110" s="10" t="s">
        <v>1588</v>
      </c>
      <c r="B110" s="9" t="s">
        <v>2369</v>
      </c>
      <c r="C110" s="9" t="s">
        <v>1589</v>
      </c>
      <c r="D110" s="10" t="s">
        <v>484</v>
      </c>
      <c r="E110" s="10" t="s">
        <v>470</v>
      </c>
      <c r="F110" s="9" t="s">
        <v>1555</v>
      </c>
      <c r="G110" s="10" t="s">
        <v>2423</v>
      </c>
      <c r="H110" s="9" t="s">
        <v>2780</v>
      </c>
    </row>
    <row r="111" spans="1:8" ht="29" x14ac:dyDescent="0.35">
      <c r="A111" s="10" t="s">
        <v>1614</v>
      </c>
      <c r="B111" s="9" t="s">
        <v>2369</v>
      </c>
      <c r="C111" s="9" t="s">
        <v>1615</v>
      </c>
      <c r="D111" s="10" t="s">
        <v>435</v>
      </c>
      <c r="E111" s="10" t="s">
        <v>470</v>
      </c>
      <c r="F111" s="9" t="s">
        <v>1565</v>
      </c>
      <c r="G111" s="10" t="s">
        <v>2376</v>
      </c>
      <c r="H111" s="9" t="s">
        <v>2746</v>
      </c>
    </row>
    <row r="112" spans="1:8" ht="29" x14ac:dyDescent="0.35">
      <c r="A112" s="10" t="s">
        <v>1617</v>
      </c>
      <c r="B112" s="9" t="s">
        <v>2369</v>
      </c>
      <c r="C112" s="9" t="s">
        <v>1472</v>
      </c>
      <c r="D112" s="10" t="s">
        <v>435</v>
      </c>
      <c r="E112" s="10" t="s">
        <v>470</v>
      </c>
      <c r="F112" s="9" t="s">
        <v>1565</v>
      </c>
      <c r="G112" s="10" t="s">
        <v>2376</v>
      </c>
      <c r="H112" s="9" t="s">
        <v>2746</v>
      </c>
    </row>
    <row r="113" spans="1:8" ht="29" x14ac:dyDescent="0.35">
      <c r="A113" s="10" t="s">
        <v>1620</v>
      </c>
      <c r="B113" s="9" t="s">
        <v>2369</v>
      </c>
      <c r="C113" s="9" t="s">
        <v>1481</v>
      </c>
      <c r="D113" s="10" t="s">
        <v>484</v>
      </c>
      <c r="E113" s="10" t="s">
        <v>470</v>
      </c>
      <c r="F113" s="9" t="s">
        <v>1565</v>
      </c>
      <c r="G113" s="10" t="s">
        <v>2376</v>
      </c>
      <c r="H113" s="9" t="s">
        <v>2746</v>
      </c>
    </row>
    <row r="114" spans="1:8" ht="29" x14ac:dyDescent="0.35">
      <c r="A114" s="10" t="s">
        <v>1623</v>
      </c>
      <c r="B114" s="9" t="s">
        <v>2369</v>
      </c>
      <c r="C114" s="9" t="s">
        <v>1486</v>
      </c>
      <c r="D114" s="10" t="s">
        <v>538</v>
      </c>
      <c r="E114" s="10" t="s">
        <v>470</v>
      </c>
      <c r="F114" s="9" t="s">
        <v>1565</v>
      </c>
      <c r="G114" s="10" t="s">
        <v>2376</v>
      </c>
      <c r="H114" s="9" t="s">
        <v>2746</v>
      </c>
    </row>
    <row r="115" spans="1:8" x14ac:dyDescent="0.35">
      <c r="A115" s="10" t="s">
        <v>1632</v>
      </c>
      <c r="B115" s="9" t="s">
        <v>2369</v>
      </c>
      <c r="C115" s="9" t="s">
        <v>1499</v>
      </c>
      <c r="D115" s="10" t="s">
        <v>538</v>
      </c>
      <c r="E115" s="10" t="s">
        <v>470</v>
      </c>
      <c r="F115" s="9" t="s">
        <v>1501</v>
      </c>
      <c r="G115" s="10" t="s">
        <v>2753</v>
      </c>
      <c r="H115" s="9" t="s">
        <v>2754</v>
      </c>
    </row>
    <row r="116" spans="1:8" ht="29" x14ac:dyDescent="0.35">
      <c r="A116" s="10" t="s">
        <v>1634</v>
      </c>
      <c r="B116" s="9" t="s">
        <v>2369</v>
      </c>
      <c r="C116" s="9" t="s">
        <v>1508</v>
      </c>
      <c r="D116" s="10" t="s">
        <v>435</v>
      </c>
      <c r="E116" s="10" t="s">
        <v>470</v>
      </c>
      <c r="F116" s="9" t="s">
        <v>1511</v>
      </c>
      <c r="G116" s="10" t="s">
        <v>2753</v>
      </c>
      <c r="H116" s="9" t="s">
        <v>2754</v>
      </c>
    </row>
    <row r="117" spans="1:8" ht="29" x14ac:dyDescent="0.35">
      <c r="A117" s="10" t="s">
        <v>1637</v>
      </c>
      <c r="B117" s="9" t="s">
        <v>2369</v>
      </c>
      <c r="C117" s="9" t="s">
        <v>1638</v>
      </c>
      <c r="D117" s="10" t="s">
        <v>435</v>
      </c>
      <c r="E117" s="10" t="s">
        <v>470</v>
      </c>
      <c r="F117" s="9" t="s">
        <v>1565</v>
      </c>
      <c r="G117" s="10" t="s">
        <v>2376</v>
      </c>
      <c r="H117" s="9" t="s">
        <v>2746</v>
      </c>
    </row>
    <row r="118" spans="1:8" ht="29" x14ac:dyDescent="0.35">
      <c r="A118" s="10" t="s">
        <v>1645</v>
      </c>
      <c r="B118" s="9" t="s">
        <v>2369</v>
      </c>
      <c r="C118" s="9" t="s">
        <v>851</v>
      </c>
      <c r="D118" s="10" t="s">
        <v>435</v>
      </c>
      <c r="E118" s="10" t="s">
        <v>470</v>
      </c>
      <c r="F118" s="9" t="s">
        <v>1565</v>
      </c>
      <c r="G118" s="10" t="s">
        <v>2376</v>
      </c>
      <c r="H118" s="9" t="s">
        <v>2746</v>
      </c>
    </row>
    <row r="119" spans="1:8" ht="43.5" x14ac:dyDescent="0.35">
      <c r="A119" s="10" t="s">
        <v>1650</v>
      </c>
      <c r="B119" s="9" t="s">
        <v>2381</v>
      </c>
      <c r="C119" s="9" t="s">
        <v>1651</v>
      </c>
      <c r="D119" s="10" t="s">
        <v>435</v>
      </c>
      <c r="E119" s="10" t="s">
        <v>470</v>
      </c>
      <c r="F119" s="9" t="s">
        <v>1656</v>
      </c>
      <c r="G119" s="10" t="s">
        <v>2402</v>
      </c>
      <c r="H119" s="9" t="s">
        <v>2758</v>
      </c>
    </row>
    <row r="120" spans="1:8" ht="43.5" x14ac:dyDescent="0.35">
      <c r="A120" s="10" t="s">
        <v>1657</v>
      </c>
      <c r="B120" s="9" t="s">
        <v>2381</v>
      </c>
      <c r="C120" s="9" t="s">
        <v>1658</v>
      </c>
      <c r="D120" s="10" t="s">
        <v>435</v>
      </c>
      <c r="E120" s="10" t="s">
        <v>470</v>
      </c>
      <c r="F120" s="9" t="s">
        <v>1656</v>
      </c>
      <c r="G120" s="10" t="s">
        <v>2402</v>
      </c>
      <c r="H120" s="9" t="s">
        <v>2758</v>
      </c>
    </row>
    <row r="121" spans="1:8" ht="43.5" x14ac:dyDescent="0.35">
      <c r="A121" s="10" t="s">
        <v>1663</v>
      </c>
      <c r="B121" s="9" t="s">
        <v>2381</v>
      </c>
      <c r="C121" s="9" t="s">
        <v>1664</v>
      </c>
      <c r="D121" s="10" t="s">
        <v>435</v>
      </c>
      <c r="E121" s="10" t="s">
        <v>470</v>
      </c>
      <c r="F121" s="9" t="s">
        <v>1656</v>
      </c>
      <c r="G121" s="10" t="s">
        <v>2402</v>
      </c>
      <c r="H121" s="9" t="s">
        <v>2758</v>
      </c>
    </row>
    <row r="122" spans="1:8" ht="43.5" x14ac:dyDescent="0.35">
      <c r="A122" s="10" t="s">
        <v>1669</v>
      </c>
      <c r="B122" s="9" t="s">
        <v>2381</v>
      </c>
      <c r="C122" s="9" t="s">
        <v>1670</v>
      </c>
      <c r="D122" s="10" t="s">
        <v>435</v>
      </c>
      <c r="E122" s="10" t="s">
        <v>470</v>
      </c>
      <c r="F122" s="9" t="s">
        <v>1656</v>
      </c>
      <c r="G122" s="10" t="s">
        <v>2402</v>
      </c>
      <c r="H122" s="9" t="s">
        <v>2758</v>
      </c>
    </row>
    <row r="123" spans="1:8" ht="43.5" x14ac:dyDescent="0.35">
      <c r="A123" s="10" t="s">
        <v>1675</v>
      </c>
      <c r="B123" s="9" t="s">
        <v>2381</v>
      </c>
      <c r="C123" s="9" t="s">
        <v>1676</v>
      </c>
      <c r="D123" s="10" t="s">
        <v>484</v>
      </c>
      <c r="E123" s="10" t="s">
        <v>470</v>
      </c>
      <c r="F123" s="9" t="s">
        <v>1656</v>
      </c>
      <c r="G123" s="10" t="s">
        <v>2402</v>
      </c>
      <c r="H123" s="9" t="s">
        <v>2758</v>
      </c>
    </row>
    <row r="124" spans="1:8" ht="43.5" x14ac:dyDescent="0.35">
      <c r="A124" s="10" t="s">
        <v>1680</v>
      </c>
      <c r="B124" s="9" t="s">
        <v>2381</v>
      </c>
      <c r="C124" s="9" t="s">
        <v>1681</v>
      </c>
      <c r="D124" s="10" t="s">
        <v>435</v>
      </c>
      <c r="E124" s="10" t="s">
        <v>470</v>
      </c>
      <c r="F124" s="9" t="s">
        <v>1656</v>
      </c>
      <c r="G124" s="10" t="s">
        <v>2402</v>
      </c>
      <c r="H124" s="9" t="s">
        <v>2758</v>
      </c>
    </row>
    <row r="125" spans="1:8" ht="43.5" x14ac:dyDescent="0.35">
      <c r="A125" s="10" t="s">
        <v>1726</v>
      </c>
      <c r="B125" s="9" t="s">
        <v>2381</v>
      </c>
      <c r="C125" s="9" t="s">
        <v>1727</v>
      </c>
      <c r="D125" s="10" t="s">
        <v>484</v>
      </c>
      <c r="E125" s="10" t="s">
        <v>470</v>
      </c>
      <c r="F125" s="9" t="s">
        <v>1656</v>
      </c>
      <c r="G125" s="10" t="s">
        <v>2402</v>
      </c>
      <c r="H125" s="9" t="s">
        <v>2758</v>
      </c>
    </row>
    <row r="126" spans="1:8" ht="43.5" x14ac:dyDescent="0.35">
      <c r="A126" s="10" t="s">
        <v>1731</v>
      </c>
      <c r="B126" s="9" t="s">
        <v>2381</v>
      </c>
      <c r="C126" s="9" t="s">
        <v>1732</v>
      </c>
      <c r="D126" s="10" t="s">
        <v>435</v>
      </c>
      <c r="E126" s="10" t="s">
        <v>470</v>
      </c>
      <c r="F126" s="9" t="s">
        <v>1656</v>
      </c>
      <c r="G126" s="10" t="s">
        <v>2402</v>
      </c>
      <c r="H126" s="9" t="s">
        <v>2758</v>
      </c>
    </row>
    <row r="127" spans="1:8" ht="43.5" x14ac:dyDescent="0.35">
      <c r="A127" s="10" t="s">
        <v>1736</v>
      </c>
      <c r="B127" s="9" t="s">
        <v>2381</v>
      </c>
      <c r="C127" s="9" t="s">
        <v>1737</v>
      </c>
      <c r="D127" s="10" t="s">
        <v>484</v>
      </c>
      <c r="E127" s="10" t="s">
        <v>470</v>
      </c>
      <c r="F127" s="9" t="s">
        <v>1656</v>
      </c>
      <c r="G127" s="10" t="s">
        <v>2402</v>
      </c>
      <c r="H127" s="9" t="s">
        <v>2758</v>
      </c>
    </row>
    <row r="128" spans="1:8" ht="43.5" x14ac:dyDescent="0.35">
      <c r="A128" s="10" t="s">
        <v>1740</v>
      </c>
      <c r="B128" s="9" t="s">
        <v>2381</v>
      </c>
      <c r="C128" s="9" t="s">
        <v>1741</v>
      </c>
      <c r="D128" s="10" t="s">
        <v>538</v>
      </c>
      <c r="E128" s="10" t="s">
        <v>470</v>
      </c>
      <c r="F128" s="9" t="s">
        <v>1656</v>
      </c>
      <c r="G128" s="10" t="s">
        <v>2402</v>
      </c>
      <c r="H128" s="9" t="s">
        <v>2758</v>
      </c>
    </row>
    <row r="129" spans="1:8" x14ac:dyDescent="0.35">
      <c r="A129" s="10" t="s">
        <v>1747</v>
      </c>
      <c r="B129" s="9" t="s">
        <v>2381</v>
      </c>
      <c r="C129" s="9" t="s">
        <v>1748</v>
      </c>
      <c r="D129" s="10" t="s">
        <v>538</v>
      </c>
      <c r="E129" s="10" t="s">
        <v>470</v>
      </c>
      <c r="F129" s="9" t="s">
        <v>1752</v>
      </c>
      <c r="G129" s="10" t="s">
        <v>2765</v>
      </c>
      <c r="H129" s="9" t="s">
        <v>2766</v>
      </c>
    </row>
    <row r="130" spans="1:8" ht="43.5" x14ac:dyDescent="0.35">
      <c r="A130" s="10" t="s">
        <v>1759</v>
      </c>
      <c r="B130" s="9" t="s">
        <v>2381</v>
      </c>
      <c r="C130" s="9" t="s">
        <v>1760</v>
      </c>
      <c r="D130" s="10" t="s">
        <v>484</v>
      </c>
      <c r="E130" s="10" t="s">
        <v>470</v>
      </c>
      <c r="F130" s="9" t="s">
        <v>1656</v>
      </c>
      <c r="G130" s="10" t="s">
        <v>2402</v>
      </c>
      <c r="H130" s="9" t="s">
        <v>2758</v>
      </c>
    </row>
    <row r="131" spans="1:8" ht="43.5" x14ac:dyDescent="0.35">
      <c r="A131" s="10" t="s">
        <v>1764</v>
      </c>
      <c r="B131" s="9" t="s">
        <v>2381</v>
      </c>
      <c r="C131" s="9" t="s">
        <v>1765</v>
      </c>
      <c r="D131" s="10" t="s">
        <v>435</v>
      </c>
      <c r="E131" s="10" t="s">
        <v>470</v>
      </c>
      <c r="F131" s="9" t="s">
        <v>1656</v>
      </c>
      <c r="G131" s="10" t="s">
        <v>2402</v>
      </c>
      <c r="H131" s="9" t="s">
        <v>2758</v>
      </c>
    </row>
    <row r="132" spans="1:8" ht="43.5" x14ac:dyDescent="0.35">
      <c r="A132" s="10" t="s">
        <v>1769</v>
      </c>
      <c r="B132" s="9" t="s">
        <v>2381</v>
      </c>
      <c r="C132" s="9" t="s">
        <v>1770</v>
      </c>
      <c r="D132" s="10" t="s">
        <v>484</v>
      </c>
      <c r="E132" s="10" t="s">
        <v>470</v>
      </c>
      <c r="F132" s="9" t="s">
        <v>1656</v>
      </c>
      <c r="G132" s="10" t="s">
        <v>2402</v>
      </c>
      <c r="H132" s="9" t="s">
        <v>2758</v>
      </c>
    </row>
    <row r="133" spans="1:8" ht="43.5" x14ac:dyDescent="0.35">
      <c r="A133" s="10" t="s">
        <v>1774</v>
      </c>
      <c r="B133" s="9" t="s">
        <v>2381</v>
      </c>
      <c r="C133" s="9" t="s">
        <v>1775</v>
      </c>
      <c r="D133" s="10" t="s">
        <v>484</v>
      </c>
      <c r="E133" s="10" t="s">
        <v>470</v>
      </c>
      <c r="F133" s="9" t="s">
        <v>1656</v>
      </c>
      <c r="G133" s="10" t="s">
        <v>2402</v>
      </c>
      <c r="H133" s="9" t="s">
        <v>2758</v>
      </c>
    </row>
    <row r="134" spans="1:8" ht="43.5" x14ac:dyDescent="0.35">
      <c r="A134" s="10" t="s">
        <v>1781</v>
      </c>
      <c r="B134" s="9" t="s">
        <v>2381</v>
      </c>
      <c r="C134" s="9" t="s">
        <v>1782</v>
      </c>
      <c r="D134" s="10" t="s">
        <v>435</v>
      </c>
      <c r="E134" s="10" t="s">
        <v>470</v>
      </c>
      <c r="F134" s="9" t="s">
        <v>1656</v>
      </c>
      <c r="G134" s="10" t="s">
        <v>2402</v>
      </c>
      <c r="H134" s="9" t="s">
        <v>2758</v>
      </c>
    </row>
    <row r="135" spans="1:8" ht="29" x14ac:dyDescent="0.35">
      <c r="A135" s="10" t="s">
        <v>1785</v>
      </c>
      <c r="B135" s="9" t="s">
        <v>2381</v>
      </c>
      <c r="C135" s="9" t="s">
        <v>1786</v>
      </c>
      <c r="D135" s="10" t="s">
        <v>435</v>
      </c>
      <c r="E135" s="10" t="s">
        <v>470</v>
      </c>
      <c r="F135" s="9" t="s">
        <v>1788</v>
      </c>
      <c r="G135" s="10" t="s">
        <v>2765</v>
      </c>
      <c r="H135" s="9" t="s">
        <v>2766</v>
      </c>
    </row>
    <row r="136" spans="1:8" ht="29" x14ac:dyDescent="0.35">
      <c r="A136" s="10" t="s">
        <v>1789</v>
      </c>
      <c r="B136" s="9" t="s">
        <v>2381</v>
      </c>
      <c r="C136" s="9" t="s">
        <v>1790</v>
      </c>
      <c r="D136" s="10" t="s">
        <v>484</v>
      </c>
      <c r="E136" s="10" t="s">
        <v>470</v>
      </c>
      <c r="F136" s="9" t="s">
        <v>1539</v>
      </c>
      <c r="G136" s="10" t="s">
        <v>2402</v>
      </c>
      <c r="H136" s="9" t="s">
        <v>2758</v>
      </c>
    </row>
    <row r="137" spans="1:8" ht="29" x14ac:dyDescent="0.35">
      <c r="A137" s="10" t="s">
        <v>1792</v>
      </c>
      <c r="B137" s="9" t="s">
        <v>2408</v>
      </c>
      <c r="C137" s="9" t="s">
        <v>1793</v>
      </c>
      <c r="D137" s="10" t="s">
        <v>435</v>
      </c>
      <c r="E137" s="10" t="s">
        <v>470</v>
      </c>
      <c r="F137" s="9" t="s">
        <v>1380</v>
      </c>
      <c r="G137" s="10" t="s">
        <v>2411</v>
      </c>
      <c r="H137" s="9" t="s">
        <v>2773</v>
      </c>
    </row>
    <row r="138" spans="1:8" ht="29" x14ac:dyDescent="0.35">
      <c r="A138" s="10" t="s">
        <v>1799</v>
      </c>
      <c r="B138" s="9" t="s">
        <v>2408</v>
      </c>
      <c r="C138" s="9" t="s">
        <v>1800</v>
      </c>
      <c r="D138" s="10" t="s">
        <v>435</v>
      </c>
      <c r="E138" s="10" t="s">
        <v>470</v>
      </c>
      <c r="F138" s="9" t="s">
        <v>1380</v>
      </c>
      <c r="G138" s="10" t="s">
        <v>2411</v>
      </c>
      <c r="H138" s="9" t="s">
        <v>2773</v>
      </c>
    </row>
    <row r="139" spans="1:8" ht="29" x14ac:dyDescent="0.35">
      <c r="A139" s="10" t="s">
        <v>1804</v>
      </c>
      <c r="B139" s="9" t="s">
        <v>2408</v>
      </c>
      <c r="C139" s="9" t="s">
        <v>1805</v>
      </c>
      <c r="D139" s="10" t="s">
        <v>484</v>
      </c>
      <c r="E139" s="10" t="s">
        <v>678</v>
      </c>
      <c r="F139" s="9" t="s">
        <v>1292</v>
      </c>
      <c r="G139" s="10" t="s">
        <v>2411</v>
      </c>
      <c r="H139" s="9" t="s">
        <v>2773</v>
      </c>
    </row>
    <row r="140" spans="1:8" ht="29" x14ac:dyDescent="0.35">
      <c r="A140" s="10" t="s">
        <v>1810</v>
      </c>
      <c r="B140" s="9" t="s">
        <v>2408</v>
      </c>
      <c r="C140" s="9" t="s">
        <v>1811</v>
      </c>
      <c r="D140" s="10" t="s">
        <v>435</v>
      </c>
      <c r="E140" s="10" t="s">
        <v>678</v>
      </c>
      <c r="F140" s="9" t="s">
        <v>1292</v>
      </c>
      <c r="G140" s="10" t="s">
        <v>2411</v>
      </c>
      <c r="H140" s="9" t="s">
        <v>2773</v>
      </c>
    </row>
    <row r="141" spans="1:8" ht="29" x14ac:dyDescent="0.35">
      <c r="A141" s="10" t="s">
        <v>1817</v>
      </c>
      <c r="B141" s="9" t="s">
        <v>2408</v>
      </c>
      <c r="C141" s="9" t="s">
        <v>1818</v>
      </c>
      <c r="D141" s="10" t="s">
        <v>435</v>
      </c>
      <c r="E141" s="10" t="s">
        <v>678</v>
      </c>
      <c r="F141" s="9" t="s">
        <v>1292</v>
      </c>
      <c r="G141" s="10" t="s">
        <v>2411</v>
      </c>
      <c r="H141" s="9" t="s">
        <v>2773</v>
      </c>
    </row>
    <row r="142" spans="1:8" ht="29" x14ac:dyDescent="0.35">
      <c r="A142" s="10" t="s">
        <v>1824</v>
      </c>
      <c r="B142" s="9" t="s">
        <v>2408</v>
      </c>
      <c r="C142" s="9" t="s">
        <v>1825</v>
      </c>
      <c r="D142" s="10" t="s">
        <v>435</v>
      </c>
      <c r="E142" s="10" t="s">
        <v>678</v>
      </c>
      <c r="F142" s="9" t="s">
        <v>1292</v>
      </c>
      <c r="G142" s="10" t="s">
        <v>2411</v>
      </c>
      <c r="H142" s="9" t="s">
        <v>2773</v>
      </c>
    </row>
    <row r="143" spans="1:8" ht="29" x14ac:dyDescent="0.35">
      <c r="A143" s="10" t="s">
        <v>338</v>
      </c>
      <c r="B143" s="9" t="s">
        <v>2408</v>
      </c>
      <c r="C143" s="9" t="s">
        <v>1831</v>
      </c>
      <c r="D143" s="10" t="s">
        <v>538</v>
      </c>
      <c r="E143" s="10" t="s">
        <v>678</v>
      </c>
      <c r="F143" s="9" t="s">
        <v>1292</v>
      </c>
      <c r="G143" s="10" t="s">
        <v>2411</v>
      </c>
      <c r="H143" s="9" t="s">
        <v>2773</v>
      </c>
    </row>
    <row r="144" spans="1:8" ht="29" x14ac:dyDescent="0.35">
      <c r="A144" s="10" t="s">
        <v>1841</v>
      </c>
      <c r="B144" s="9" t="s">
        <v>2408</v>
      </c>
      <c r="C144" s="9" t="s">
        <v>1842</v>
      </c>
      <c r="D144" s="10" t="s">
        <v>435</v>
      </c>
      <c r="E144" s="10" t="s">
        <v>470</v>
      </c>
      <c r="F144" s="9" t="s">
        <v>1380</v>
      </c>
      <c r="G144" s="10" t="s">
        <v>2411</v>
      </c>
      <c r="H144" s="9" t="s">
        <v>2773</v>
      </c>
    </row>
    <row r="145" spans="1:8" ht="29" x14ac:dyDescent="0.35">
      <c r="A145" s="10" t="s">
        <v>1854</v>
      </c>
      <c r="B145" s="9" t="s">
        <v>2408</v>
      </c>
      <c r="C145" s="9" t="s">
        <v>1855</v>
      </c>
      <c r="D145" s="10" t="s">
        <v>538</v>
      </c>
      <c r="E145" s="10" t="s">
        <v>470</v>
      </c>
      <c r="F145" s="9" t="s">
        <v>1380</v>
      </c>
      <c r="G145" s="10" t="s">
        <v>2411</v>
      </c>
      <c r="H145" s="9" t="s">
        <v>2773</v>
      </c>
    </row>
    <row r="146" spans="1:8" ht="29" x14ac:dyDescent="0.35">
      <c r="A146" s="10" t="s">
        <v>1861</v>
      </c>
      <c r="B146" s="9" t="s">
        <v>2418</v>
      </c>
      <c r="C146" s="9" t="s">
        <v>1862</v>
      </c>
      <c r="D146" s="10" t="s">
        <v>435</v>
      </c>
      <c r="E146" s="10" t="s">
        <v>470</v>
      </c>
      <c r="F146" s="9" t="s">
        <v>1867</v>
      </c>
      <c r="G146" s="10" t="s">
        <v>2423</v>
      </c>
      <c r="H146" s="9" t="s">
        <v>2780</v>
      </c>
    </row>
    <row r="147" spans="1:8" ht="29" x14ac:dyDescent="0.35">
      <c r="A147" s="10" t="s">
        <v>1868</v>
      </c>
      <c r="B147" s="9" t="s">
        <v>2418</v>
      </c>
      <c r="C147" s="9" t="s">
        <v>1869</v>
      </c>
      <c r="D147" s="10" t="s">
        <v>435</v>
      </c>
      <c r="E147" s="10" t="s">
        <v>470</v>
      </c>
      <c r="F147" s="9" t="s">
        <v>1867</v>
      </c>
      <c r="G147" s="10" t="s">
        <v>2423</v>
      </c>
      <c r="H147" s="9" t="s">
        <v>2780</v>
      </c>
    </row>
    <row r="148" spans="1:8" ht="29" x14ac:dyDescent="0.35">
      <c r="A148" s="10" t="s">
        <v>1872</v>
      </c>
      <c r="B148" s="9" t="s">
        <v>2418</v>
      </c>
      <c r="C148" s="9" t="s">
        <v>1873</v>
      </c>
      <c r="D148" s="10" t="s">
        <v>484</v>
      </c>
      <c r="E148" s="10" t="s">
        <v>470</v>
      </c>
      <c r="F148" s="9" t="s">
        <v>1867</v>
      </c>
      <c r="G148" s="10" t="s">
        <v>2423</v>
      </c>
      <c r="H148" s="9" t="s">
        <v>2780</v>
      </c>
    </row>
    <row r="149" spans="1:8" ht="43.5" x14ac:dyDescent="0.35">
      <c r="A149" s="10" t="s">
        <v>1878</v>
      </c>
      <c r="B149" s="9" t="s">
        <v>2418</v>
      </c>
      <c r="C149" s="9" t="s">
        <v>1879</v>
      </c>
      <c r="D149" s="10" t="s">
        <v>484</v>
      </c>
      <c r="E149" s="10" t="s">
        <v>678</v>
      </c>
      <c r="F149" s="9" t="s">
        <v>1884</v>
      </c>
      <c r="G149" s="10" t="s">
        <v>2423</v>
      </c>
      <c r="H149" s="9" t="s">
        <v>2780</v>
      </c>
    </row>
    <row r="150" spans="1:8" ht="29" x14ac:dyDescent="0.35">
      <c r="A150" s="10" t="s">
        <v>1885</v>
      </c>
      <c r="B150" s="9" t="s">
        <v>2418</v>
      </c>
      <c r="C150" s="9" t="s">
        <v>1886</v>
      </c>
      <c r="D150" s="10" t="s">
        <v>484</v>
      </c>
      <c r="E150" s="10" t="s">
        <v>470</v>
      </c>
      <c r="F150" s="9" t="s">
        <v>1867</v>
      </c>
      <c r="G150" s="10" t="s">
        <v>2423</v>
      </c>
      <c r="H150" s="9" t="s">
        <v>2780</v>
      </c>
    </row>
    <row r="151" spans="1:8" ht="29" x14ac:dyDescent="0.35">
      <c r="A151" s="10" t="s">
        <v>1891</v>
      </c>
      <c r="B151" s="9" t="s">
        <v>2418</v>
      </c>
      <c r="C151" s="9" t="s">
        <v>1892</v>
      </c>
      <c r="D151" s="10" t="s">
        <v>435</v>
      </c>
      <c r="E151" s="10" t="s">
        <v>470</v>
      </c>
      <c r="F151" s="9" t="s">
        <v>1867</v>
      </c>
      <c r="G151" s="10" t="s">
        <v>2423</v>
      </c>
      <c r="H151" s="9" t="s">
        <v>2780</v>
      </c>
    </row>
    <row r="152" spans="1:8" ht="43.5" x14ac:dyDescent="0.35">
      <c r="A152" s="10" t="s">
        <v>1896</v>
      </c>
      <c r="B152" s="9" t="s">
        <v>2418</v>
      </c>
      <c r="C152" s="9" t="s">
        <v>1897</v>
      </c>
      <c r="D152" s="10" t="s">
        <v>435</v>
      </c>
      <c r="E152" s="10" t="s">
        <v>678</v>
      </c>
      <c r="F152" s="9" t="s">
        <v>1884</v>
      </c>
      <c r="G152" s="10" t="s">
        <v>2423</v>
      </c>
      <c r="H152" s="9" t="s">
        <v>2780</v>
      </c>
    </row>
    <row r="153" spans="1:8" ht="29" x14ac:dyDescent="0.35">
      <c r="A153" s="10" t="s">
        <v>1900</v>
      </c>
      <c r="B153" s="9" t="s">
        <v>2418</v>
      </c>
      <c r="C153" s="9" t="s">
        <v>1901</v>
      </c>
      <c r="D153" s="10" t="s">
        <v>484</v>
      </c>
      <c r="E153" s="10" t="s">
        <v>470</v>
      </c>
      <c r="F153" s="9" t="s">
        <v>1867</v>
      </c>
      <c r="G153" s="10" t="s">
        <v>2423</v>
      </c>
      <c r="H153" s="9" t="s">
        <v>2780</v>
      </c>
    </row>
    <row r="154" spans="1:8" ht="29" x14ac:dyDescent="0.35">
      <c r="A154" s="10" t="s">
        <v>1904</v>
      </c>
      <c r="B154" s="9" t="s">
        <v>2418</v>
      </c>
      <c r="C154" s="9" t="s">
        <v>1905</v>
      </c>
      <c r="D154" s="10" t="s">
        <v>484</v>
      </c>
      <c r="E154" s="10" t="s">
        <v>470</v>
      </c>
      <c r="F154" s="9" t="s">
        <v>1867</v>
      </c>
      <c r="G154" s="10" t="s">
        <v>2423</v>
      </c>
      <c r="H154" s="9" t="s">
        <v>2780</v>
      </c>
    </row>
    <row r="155" spans="1:8" ht="29" x14ac:dyDescent="0.35">
      <c r="A155" s="10" t="s">
        <v>1908</v>
      </c>
      <c r="B155" s="9" t="s">
        <v>2418</v>
      </c>
      <c r="C155" s="9" t="s">
        <v>1909</v>
      </c>
      <c r="D155" s="10" t="s">
        <v>538</v>
      </c>
      <c r="E155" s="10" t="s">
        <v>470</v>
      </c>
      <c r="F155" s="9" t="s">
        <v>1867</v>
      </c>
      <c r="G155" s="10" t="s">
        <v>2423</v>
      </c>
      <c r="H155" s="9" t="s">
        <v>2780</v>
      </c>
    </row>
    <row r="156" spans="1:8" ht="29" x14ac:dyDescent="0.35">
      <c r="A156" s="10" t="s">
        <v>1912</v>
      </c>
      <c r="B156" s="9" t="s">
        <v>2418</v>
      </c>
      <c r="C156" s="9" t="s">
        <v>1913</v>
      </c>
      <c r="D156" s="10" t="s">
        <v>435</v>
      </c>
      <c r="E156" s="10" t="s">
        <v>470</v>
      </c>
      <c r="F156" s="9" t="s">
        <v>1867</v>
      </c>
      <c r="G156" s="10" t="s">
        <v>2423</v>
      </c>
      <c r="H156" s="9" t="s">
        <v>2780</v>
      </c>
    </row>
    <row r="157" spans="1:8" ht="43.5" x14ac:dyDescent="0.35">
      <c r="A157" s="10" t="s">
        <v>1917</v>
      </c>
      <c r="B157" s="9" t="s">
        <v>2418</v>
      </c>
      <c r="C157" s="9" t="s">
        <v>1918</v>
      </c>
      <c r="D157" s="10" t="s">
        <v>484</v>
      </c>
      <c r="E157" s="10" t="s">
        <v>678</v>
      </c>
      <c r="F157" s="9" t="s">
        <v>1884</v>
      </c>
      <c r="G157" s="10" t="s">
        <v>2423</v>
      </c>
      <c r="H157" s="9" t="s">
        <v>2780</v>
      </c>
    </row>
    <row r="158" spans="1:8" ht="43.5" x14ac:dyDescent="0.35">
      <c r="A158" s="10" t="s">
        <v>1923</v>
      </c>
      <c r="B158" s="9" t="s">
        <v>2418</v>
      </c>
      <c r="C158" s="9" t="s">
        <v>1924</v>
      </c>
      <c r="D158" s="10" t="s">
        <v>484</v>
      </c>
      <c r="E158" s="10" t="s">
        <v>678</v>
      </c>
      <c r="F158" s="9" t="s">
        <v>1884</v>
      </c>
      <c r="G158" s="10" t="s">
        <v>2423</v>
      </c>
      <c r="H158" s="9" t="s">
        <v>2780</v>
      </c>
    </row>
    <row r="159" spans="1:8" ht="43.5" x14ac:dyDescent="0.35">
      <c r="A159" s="10" t="s">
        <v>1929</v>
      </c>
      <c r="B159" s="9" t="s">
        <v>2418</v>
      </c>
      <c r="C159" s="9" t="s">
        <v>1519</v>
      </c>
      <c r="D159" s="10" t="s">
        <v>484</v>
      </c>
      <c r="E159" s="10" t="s">
        <v>678</v>
      </c>
      <c r="F159" s="9" t="s">
        <v>1884</v>
      </c>
      <c r="G159" s="10" t="s">
        <v>2423</v>
      </c>
      <c r="H159" s="9" t="s">
        <v>2780</v>
      </c>
    </row>
    <row r="160" spans="1:8" ht="29" x14ac:dyDescent="0.35">
      <c r="A160" s="10" t="s">
        <v>1945</v>
      </c>
      <c r="B160" s="9" t="s">
        <v>2428</v>
      </c>
      <c r="C160" s="9" t="s">
        <v>1946</v>
      </c>
      <c r="D160" s="10" t="s">
        <v>435</v>
      </c>
      <c r="E160" s="10" t="s">
        <v>470</v>
      </c>
      <c r="F160" s="9" t="s">
        <v>1867</v>
      </c>
      <c r="G160" s="10" t="s">
        <v>2517</v>
      </c>
      <c r="H160" s="9" t="s">
        <v>2787</v>
      </c>
    </row>
    <row r="161" spans="1:8" ht="29" x14ac:dyDescent="0.35">
      <c r="A161" s="10" t="s">
        <v>1951</v>
      </c>
      <c r="B161" s="9" t="s">
        <v>2428</v>
      </c>
      <c r="C161" s="9" t="s">
        <v>1952</v>
      </c>
      <c r="D161" s="10" t="s">
        <v>484</v>
      </c>
      <c r="E161" s="10" t="s">
        <v>470</v>
      </c>
      <c r="F161" s="9" t="s">
        <v>1867</v>
      </c>
      <c r="G161" s="10" t="s">
        <v>2517</v>
      </c>
      <c r="H161" s="9" t="s">
        <v>2787</v>
      </c>
    </row>
    <row r="162" spans="1:8" ht="29" x14ac:dyDescent="0.35">
      <c r="A162" s="10" t="s">
        <v>1956</v>
      </c>
      <c r="B162" s="9" t="s">
        <v>2428</v>
      </c>
      <c r="C162" s="9" t="s">
        <v>1957</v>
      </c>
      <c r="D162" s="10" t="s">
        <v>435</v>
      </c>
      <c r="E162" s="10" t="s">
        <v>470</v>
      </c>
      <c r="F162" s="9" t="s">
        <v>1867</v>
      </c>
      <c r="G162" s="10" t="s">
        <v>2517</v>
      </c>
      <c r="H162" s="9" t="s">
        <v>2787</v>
      </c>
    </row>
    <row r="163" spans="1:8" ht="29" x14ac:dyDescent="0.35">
      <c r="A163" s="10" t="s">
        <v>1961</v>
      </c>
      <c r="B163" s="9" t="s">
        <v>2428</v>
      </c>
      <c r="C163" s="9" t="s">
        <v>1962</v>
      </c>
      <c r="D163" s="10" t="s">
        <v>484</v>
      </c>
      <c r="E163" s="10" t="s">
        <v>470</v>
      </c>
      <c r="F163" s="9" t="s">
        <v>1867</v>
      </c>
      <c r="G163" s="10" t="s">
        <v>2517</v>
      </c>
      <c r="H163" s="9" t="s">
        <v>2787</v>
      </c>
    </row>
    <row r="164" spans="1:8" ht="29" x14ac:dyDescent="0.35">
      <c r="A164" s="10" t="s">
        <v>1966</v>
      </c>
      <c r="B164" s="9" t="s">
        <v>2428</v>
      </c>
      <c r="C164" s="9" t="s">
        <v>1967</v>
      </c>
      <c r="D164" s="10" t="s">
        <v>435</v>
      </c>
      <c r="E164" s="10" t="s">
        <v>470</v>
      </c>
      <c r="F164" s="9" t="s">
        <v>1971</v>
      </c>
      <c r="G164" s="10" t="s">
        <v>2435</v>
      </c>
      <c r="H164" s="9" t="s">
        <v>2793</v>
      </c>
    </row>
    <row r="165" spans="1:8" ht="29" x14ac:dyDescent="0.35">
      <c r="A165" s="10" t="s">
        <v>1972</v>
      </c>
      <c r="B165" s="9" t="s">
        <v>2428</v>
      </c>
      <c r="C165" s="9" t="s">
        <v>1973</v>
      </c>
      <c r="D165" s="10" t="s">
        <v>435</v>
      </c>
      <c r="E165" s="10" t="s">
        <v>470</v>
      </c>
      <c r="F165" s="9" t="s">
        <v>1977</v>
      </c>
      <c r="G165" s="10" t="s">
        <v>2435</v>
      </c>
      <c r="H165" s="9" t="s">
        <v>2793</v>
      </c>
    </row>
    <row r="166" spans="1:8" ht="29" x14ac:dyDescent="0.35">
      <c r="A166" s="10" t="s">
        <v>1978</v>
      </c>
      <c r="B166" s="9" t="s">
        <v>2428</v>
      </c>
      <c r="C166" s="9" t="s">
        <v>1979</v>
      </c>
      <c r="D166" s="10" t="s">
        <v>435</v>
      </c>
      <c r="E166" s="10" t="s">
        <v>470</v>
      </c>
      <c r="F166" s="9" t="s">
        <v>1983</v>
      </c>
      <c r="G166" s="10" t="s">
        <v>2435</v>
      </c>
      <c r="H166" s="9" t="s">
        <v>2793</v>
      </c>
    </row>
    <row r="167" spans="1:8" ht="29" x14ac:dyDescent="0.35">
      <c r="A167" s="10" t="s">
        <v>1984</v>
      </c>
      <c r="B167" s="9" t="s">
        <v>2428</v>
      </c>
      <c r="C167" s="9" t="s">
        <v>1985</v>
      </c>
      <c r="D167" s="10" t="s">
        <v>484</v>
      </c>
      <c r="E167" s="10" t="s">
        <v>470</v>
      </c>
      <c r="F167" s="9" t="s">
        <v>1989</v>
      </c>
      <c r="G167" s="10" t="s">
        <v>2435</v>
      </c>
      <c r="H167" s="9" t="s">
        <v>2793</v>
      </c>
    </row>
    <row r="168" spans="1:8" ht="29" x14ac:dyDescent="0.35">
      <c r="A168" s="10" t="s">
        <v>1990</v>
      </c>
      <c r="B168" s="9" t="s">
        <v>2428</v>
      </c>
      <c r="C168" s="9" t="s">
        <v>1991</v>
      </c>
      <c r="D168" s="10" t="s">
        <v>484</v>
      </c>
      <c r="E168" s="10" t="s">
        <v>470</v>
      </c>
      <c r="F168" s="9" t="s">
        <v>1993</v>
      </c>
      <c r="G168" s="10" t="s">
        <v>2435</v>
      </c>
      <c r="H168" s="9" t="s">
        <v>2793</v>
      </c>
    </row>
    <row r="169" spans="1:8" ht="29" x14ac:dyDescent="0.35">
      <c r="A169" s="10" t="s">
        <v>1994</v>
      </c>
      <c r="B169" s="9" t="s">
        <v>2428</v>
      </c>
      <c r="C169" s="9" t="s">
        <v>1995</v>
      </c>
      <c r="D169" s="10" t="s">
        <v>538</v>
      </c>
      <c r="E169" s="10" t="s">
        <v>470</v>
      </c>
      <c r="F169" s="9" t="s">
        <v>1867</v>
      </c>
      <c r="G169" s="10" t="s">
        <v>2517</v>
      </c>
      <c r="H169" s="9" t="s">
        <v>2787</v>
      </c>
    </row>
    <row r="170" spans="1:8" ht="29" x14ac:dyDescent="0.35">
      <c r="A170" s="10" t="s">
        <v>1999</v>
      </c>
      <c r="B170" s="9" t="s">
        <v>2428</v>
      </c>
      <c r="C170" s="9" t="s">
        <v>2000</v>
      </c>
      <c r="D170" s="10" t="s">
        <v>435</v>
      </c>
      <c r="E170" s="10" t="s">
        <v>470</v>
      </c>
      <c r="F170" s="9" t="s">
        <v>1867</v>
      </c>
      <c r="G170" s="10" t="s">
        <v>2517</v>
      </c>
      <c r="H170" s="9" t="s">
        <v>2787</v>
      </c>
    </row>
    <row r="171" spans="1:8" ht="29" x14ac:dyDescent="0.35">
      <c r="A171" s="10" t="s">
        <v>2004</v>
      </c>
      <c r="B171" s="9" t="s">
        <v>2428</v>
      </c>
      <c r="C171" s="9" t="s">
        <v>2005</v>
      </c>
      <c r="D171" s="10" t="s">
        <v>435</v>
      </c>
      <c r="E171" s="10" t="s">
        <v>470</v>
      </c>
      <c r="F171" s="9" t="s">
        <v>1867</v>
      </c>
      <c r="G171" s="10" t="s">
        <v>2517</v>
      </c>
      <c r="H171" s="9" t="s">
        <v>2787</v>
      </c>
    </row>
    <row r="172" spans="1:8" ht="29" x14ac:dyDescent="0.35">
      <c r="A172" s="10" t="s">
        <v>2009</v>
      </c>
      <c r="B172" s="9" t="s">
        <v>2428</v>
      </c>
      <c r="C172" s="9" t="s">
        <v>2010</v>
      </c>
      <c r="D172" s="10" t="s">
        <v>435</v>
      </c>
      <c r="E172" s="10" t="s">
        <v>470</v>
      </c>
      <c r="F172" s="9" t="s">
        <v>1867</v>
      </c>
      <c r="G172" s="10" t="s">
        <v>2517</v>
      </c>
      <c r="H172" s="9" t="s">
        <v>2787</v>
      </c>
    </row>
    <row r="173" spans="1:8" ht="29" x14ac:dyDescent="0.35">
      <c r="A173" s="10" t="s">
        <v>2014</v>
      </c>
      <c r="B173" s="9" t="s">
        <v>2428</v>
      </c>
      <c r="C173" s="9" t="s">
        <v>2015</v>
      </c>
      <c r="D173" s="10" t="s">
        <v>538</v>
      </c>
      <c r="E173" s="10" t="s">
        <v>470</v>
      </c>
      <c r="F173" s="9" t="s">
        <v>1867</v>
      </c>
      <c r="G173" s="10" t="s">
        <v>2517</v>
      </c>
      <c r="H173" s="9" t="s">
        <v>2787</v>
      </c>
    </row>
    <row r="174" spans="1:8" ht="29" x14ac:dyDescent="0.35">
      <c r="A174" s="10" t="s">
        <v>2027</v>
      </c>
      <c r="B174" s="9" t="s">
        <v>2428</v>
      </c>
      <c r="C174" s="9" t="s">
        <v>2028</v>
      </c>
      <c r="D174" s="10" t="s">
        <v>435</v>
      </c>
      <c r="E174" s="10" t="s">
        <v>470</v>
      </c>
      <c r="F174" s="9" t="s">
        <v>2031</v>
      </c>
      <c r="G174" s="10" t="s">
        <v>2517</v>
      </c>
      <c r="H174" s="9" t="s">
        <v>2787</v>
      </c>
    </row>
    <row r="175" spans="1:8" ht="29" x14ac:dyDescent="0.35">
      <c r="A175" s="10" t="s">
        <v>2032</v>
      </c>
      <c r="B175" s="9" t="s">
        <v>2428</v>
      </c>
      <c r="C175" s="9" t="s">
        <v>2033</v>
      </c>
      <c r="D175" s="10" t="s">
        <v>538</v>
      </c>
      <c r="E175" s="10" t="s">
        <v>470</v>
      </c>
      <c r="F175" s="9" t="s">
        <v>2031</v>
      </c>
      <c r="G175" s="10" t="s">
        <v>2801</v>
      </c>
      <c r="H175" s="9" t="s">
        <v>2802</v>
      </c>
    </row>
    <row r="176" spans="1:8" ht="29" x14ac:dyDescent="0.35">
      <c r="A176" s="10" t="s">
        <v>2037</v>
      </c>
      <c r="B176" s="9" t="s">
        <v>2428</v>
      </c>
      <c r="C176" s="9" t="s">
        <v>2038</v>
      </c>
      <c r="D176" s="10" t="s">
        <v>538</v>
      </c>
      <c r="E176" s="10" t="s">
        <v>470</v>
      </c>
      <c r="F176" s="9" t="s">
        <v>2031</v>
      </c>
      <c r="G176" s="10" t="s">
        <v>2801</v>
      </c>
      <c r="H176" s="9" t="s">
        <v>2802</v>
      </c>
    </row>
    <row r="177" spans="1:8" ht="29" x14ac:dyDescent="0.35">
      <c r="A177" s="10" t="s">
        <v>2041</v>
      </c>
      <c r="B177" s="9" t="s">
        <v>2428</v>
      </c>
      <c r="C177" s="9" t="s">
        <v>2042</v>
      </c>
      <c r="D177" s="10" t="s">
        <v>538</v>
      </c>
      <c r="E177" s="10" t="s">
        <v>470</v>
      </c>
      <c r="F177" s="9" t="s">
        <v>2031</v>
      </c>
      <c r="G177" s="10" t="s">
        <v>2801</v>
      </c>
      <c r="H177" s="9" t="s">
        <v>2802</v>
      </c>
    </row>
    <row r="178" spans="1:8" ht="29" x14ac:dyDescent="0.35">
      <c r="A178" s="10" t="s">
        <v>2046</v>
      </c>
      <c r="B178" s="9" t="s">
        <v>2428</v>
      </c>
      <c r="C178" s="9" t="s">
        <v>2047</v>
      </c>
      <c r="D178" s="10" t="s">
        <v>435</v>
      </c>
      <c r="E178" s="10" t="s">
        <v>470</v>
      </c>
      <c r="F178" s="9" t="s">
        <v>1331</v>
      </c>
      <c r="G178" s="10" t="s">
        <v>2429</v>
      </c>
      <c r="H178" s="9" t="s">
        <v>2808</v>
      </c>
    </row>
    <row r="179" spans="1:8" ht="29" x14ac:dyDescent="0.35">
      <c r="A179" s="10" t="s">
        <v>2049</v>
      </c>
      <c r="B179" s="9" t="s">
        <v>2428</v>
      </c>
      <c r="C179" s="9" t="s">
        <v>2050</v>
      </c>
      <c r="D179" s="10" t="s">
        <v>435</v>
      </c>
      <c r="E179" s="10" t="s">
        <v>470</v>
      </c>
      <c r="F179" s="9" t="s">
        <v>1391</v>
      </c>
      <c r="G179" s="10" t="s">
        <v>2429</v>
      </c>
      <c r="H179" s="9" t="s">
        <v>2808</v>
      </c>
    </row>
    <row r="180" spans="1:8" ht="29" x14ac:dyDescent="0.35">
      <c r="A180" s="10" t="s">
        <v>2052</v>
      </c>
      <c r="B180" s="9" t="s">
        <v>2428</v>
      </c>
      <c r="C180" s="9" t="s">
        <v>2053</v>
      </c>
      <c r="D180" s="10" t="s">
        <v>435</v>
      </c>
      <c r="E180" s="10" t="s">
        <v>470</v>
      </c>
      <c r="F180" s="9" t="s">
        <v>1344</v>
      </c>
      <c r="G180" s="10" t="s">
        <v>2429</v>
      </c>
      <c r="H180" s="9" t="s">
        <v>2808</v>
      </c>
    </row>
    <row r="181" spans="1:8" ht="29" x14ac:dyDescent="0.35">
      <c r="A181" s="10" t="s">
        <v>388</v>
      </c>
      <c r="B181" s="9" t="s">
        <v>2428</v>
      </c>
      <c r="C181" s="9" t="s">
        <v>2055</v>
      </c>
      <c r="D181" s="10" t="s">
        <v>435</v>
      </c>
      <c r="E181" s="10" t="s">
        <v>470</v>
      </c>
      <c r="F181" s="9" t="s">
        <v>1943</v>
      </c>
      <c r="G181" s="10" t="s">
        <v>2429</v>
      </c>
      <c r="H181" s="9" t="s">
        <v>2808</v>
      </c>
    </row>
    <row r="182" spans="1:8" ht="29" x14ac:dyDescent="0.35">
      <c r="A182" s="10" t="s">
        <v>2058</v>
      </c>
      <c r="B182" s="9" t="s">
        <v>2428</v>
      </c>
      <c r="C182" s="9" t="s">
        <v>1869</v>
      </c>
      <c r="D182" s="10" t="s">
        <v>484</v>
      </c>
      <c r="E182" s="10" t="s">
        <v>470</v>
      </c>
      <c r="F182" s="9" t="s">
        <v>1867</v>
      </c>
      <c r="G182" s="10" t="s">
        <v>2517</v>
      </c>
      <c r="H182" s="9" t="s">
        <v>2787</v>
      </c>
    </row>
    <row r="183" spans="1:8" ht="29" x14ac:dyDescent="0.35">
      <c r="A183" s="10" t="s">
        <v>2115</v>
      </c>
      <c r="B183" s="9" t="s">
        <v>2454</v>
      </c>
      <c r="C183" s="9" t="s">
        <v>2116</v>
      </c>
      <c r="D183" s="10" t="s">
        <v>435</v>
      </c>
      <c r="E183" s="10" t="s">
        <v>470</v>
      </c>
      <c r="F183" s="9" t="s">
        <v>2119</v>
      </c>
      <c r="G183" s="10" t="s">
        <v>2463</v>
      </c>
      <c r="H183" s="9" t="s">
        <v>2816</v>
      </c>
    </row>
    <row r="184" spans="1:8" ht="29" x14ac:dyDescent="0.35">
      <c r="A184" s="10" t="s">
        <v>2142</v>
      </c>
      <c r="B184" s="9" t="s">
        <v>2454</v>
      </c>
      <c r="C184" s="9" t="s">
        <v>2143</v>
      </c>
      <c r="D184" s="10" t="s">
        <v>538</v>
      </c>
      <c r="E184" s="10" t="s">
        <v>470</v>
      </c>
      <c r="F184" s="9" t="s">
        <v>2147</v>
      </c>
      <c r="G184" s="10" t="s">
        <v>2463</v>
      </c>
      <c r="H184" s="9" t="s">
        <v>2816</v>
      </c>
    </row>
    <row r="185" spans="1:8" ht="29" x14ac:dyDescent="0.35">
      <c r="A185" s="10" t="s">
        <v>2154</v>
      </c>
      <c r="B185" s="9" t="s">
        <v>2454</v>
      </c>
      <c r="C185" s="9" t="s">
        <v>2155</v>
      </c>
      <c r="D185" s="10" t="s">
        <v>538</v>
      </c>
      <c r="E185" s="10" t="s">
        <v>470</v>
      </c>
      <c r="F185" s="9" t="s">
        <v>2160</v>
      </c>
      <c r="G185" s="10" t="s">
        <v>2824</v>
      </c>
      <c r="H185" s="9" t="s">
        <v>2825</v>
      </c>
    </row>
  </sheetData>
  <conditionalFormatting sqref="E2:E185">
    <cfRule type="cellIs" dxfId="17" priority="2" operator="equal">
      <formula>"Fail"</formula>
    </cfRule>
    <cfRule type="cellIs" dxfId="16" priority="3" operator="equal">
      <formula>"Blocked"</formula>
    </cfRule>
    <cfRule type="cellIs" dxfId="15" priority="4" operator="equal">
      <formula>"Not Applicable"</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7"/>
  <sheetViews>
    <sheetView showGridLines="0" topLeftCell="A102" zoomScale="102" zoomScaleNormal="100" workbookViewId="0">
      <selection activeCell="B15" sqref="B15:H15"/>
    </sheetView>
  </sheetViews>
  <sheetFormatPr defaultColWidth="8.6328125" defaultRowHeight="14.5" x14ac:dyDescent="0.35"/>
  <cols>
    <col min="1" max="1" width="30" customWidth="1"/>
    <col min="2" max="2" width="24" customWidth="1"/>
    <col min="3" max="6" width="11" customWidth="1"/>
    <col min="7" max="11" width="13" customWidth="1"/>
  </cols>
  <sheetData>
    <row r="1" spans="1:11" ht="22.5" x14ac:dyDescent="0.45">
      <c r="A1" s="11" t="s">
        <v>2838</v>
      </c>
    </row>
    <row r="2" spans="1:11" ht="15.5" x14ac:dyDescent="0.35">
      <c r="A2" s="12" t="s">
        <v>2839</v>
      </c>
    </row>
    <row r="4" spans="1:11" ht="15.5" x14ac:dyDescent="0.35">
      <c r="A4" s="13" t="s">
        <v>2840</v>
      </c>
      <c r="B4" s="14"/>
      <c r="C4" s="14"/>
      <c r="D4" s="14"/>
      <c r="E4" s="14"/>
      <c r="F4" s="14"/>
      <c r="G4" s="14"/>
      <c r="H4" s="14"/>
      <c r="I4" s="14"/>
      <c r="J4" s="14"/>
      <c r="K4" s="14"/>
    </row>
    <row r="5" spans="1:11" x14ac:dyDescent="0.35">
      <c r="A5" s="15" t="s">
        <v>2</v>
      </c>
      <c r="B5" s="6" t="str">
        <f>'Test Plan'!B2</f>
        <v>Guru99 Banking project</v>
      </c>
      <c r="C5" s="6"/>
      <c r="D5" s="6"/>
      <c r="E5" s="6"/>
      <c r="F5" s="6"/>
      <c r="G5" s="6"/>
      <c r="H5" s="6"/>
    </row>
    <row r="6" spans="1:11" x14ac:dyDescent="0.35">
      <c r="A6" s="15" t="s">
        <v>6</v>
      </c>
      <c r="B6" s="6">
        <f>'Test Plan'!B4</f>
        <v>2</v>
      </c>
      <c r="C6" s="6"/>
      <c r="D6" s="6"/>
      <c r="E6" s="6"/>
      <c r="F6" s="6"/>
      <c r="G6" s="6"/>
      <c r="H6" s="6"/>
    </row>
    <row r="7" spans="1:11" x14ac:dyDescent="0.35">
      <c r="A7" s="15" t="s">
        <v>7</v>
      </c>
      <c r="B7" s="6" t="str">
        <f>'Test Plan'!B5</f>
        <v>Manual functional testing</v>
      </c>
      <c r="C7" s="6"/>
      <c r="D7" s="6"/>
      <c r="E7" s="6"/>
      <c r="F7" s="6"/>
      <c r="G7" s="6"/>
      <c r="H7" s="6"/>
    </row>
    <row r="8" spans="1:11" x14ac:dyDescent="0.35">
      <c r="A8" s="15" t="s">
        <v>9</v>
      </c>
      <c r="B8" s="6" t="str">
        <f>'Test Plan'!B6</f>
        <v>Verify that Guru99 Bank meets the specified functional requirements</v>
      </c>
      <c r="C8" s="6"/>
      <c r="D8" s="6"/>
      <c r="E8" s="6"/>
      <c r="F8" s="6"/>
      <c r="G8" s="6"/>
      <c r="H8" s="6"/>
    </row>
    <row r="9" spans="1:11" x14ac:dyDescent="0.35">
      <c r="A9" s="15" t="s">
        <v>11</v>
      </c>
      <c r="B9" s="6" t="str">
        <f>'Test Plan'!B7</f>
        <v>Functional testing and external interfaces</v>
      </c>
      <c r="C9" s="6"/>
      <c r="D9" s="6"/>
      <c r="E9" s="6"/>
      <c r="F9" s="6"/>
      <c r="G9" s="6"/>
      <c r="H9" s="6"/>
    </row>
    <row r="10" spans="1:11" x14ac:dyDescent="0.35">
      <c r="A10" s="15" t="s">
        <v>13</v>
      </c>
      <c r="B10" s="6" t="str">
        <f>'Test Plan'!B8</f>
        <v>Automation testing and performance/stress testing</v>
      </c>
      <c r="C10" s="6"/>
      <c r="D10" s="6"/>
      <c r="E10" s="6"/>
      <c r="F10" s="6"/>
      <c r="G10" s="6"/>
      <c r="H10" s="6"/>
    </row>
    <row r="11" spans="1:11" x14ac:dyDescent="0.35">
      <c r="A11" s="15" t="s">
        <v>2841</v>
      </c>
      <c r="B11" s="6" t="str">
        <f>'Test Plan'!B9</f>
        <v>Manager and customer</v>
      </c>
      <c r="C11" s="6"/>
      <c r="D11" s="6"/>
      <c r="E11" s="6"/>
      <c r="F11" s="6"/>
      <c r="G11" s="6"/>
      <c r="H11" s="6"/>
    </row>
    <row r="12" spans="1:11" ht="15" customHeight="1" x14ac:dyDescent="0.35">
      <c r="A12" s="15" t="s">
        <v>2842</v>
      </c>
      <c r="B12" s="38" t="s">
        <v>3110</v>
      </c>
      <c r="C12" s="6"/>
      <c r="D12" s="6"/>
      <c r="E12" s="6"/>
      <c r="F12" s="6"/>
      <c r="G12" s="6"/>
      <c r="H12" s="6"/>
    </row>
    <row r="13" spans="1:11" ht="15" customHeight="1" x14ac:dyDescent="0.35">
      <c r="A13" s="15" t="s">
        <v>17</v>
      </c>
      <c r="B13" s="38" t="s">
        <v>3111</v>
      </c>
      <c r="C13" s="6"/>
      <c r="D13" s="6"/>
      <c r="E13" s="6"/>
      <c r="F13" s="6"/>
      <c r="G13" s="6"/>
      <c r="H13" s="6"/>
    </row>
    <row r="14" spans="1:11" ht="15" customHeight="1" x14ac:dyDescent="0.35">
      <c r="A14" s="15" t="s">
        <v>2843</v>
      </c>
      <c r="B14" s="6" t="s">
        <v>2844</v>
      </c>
      <c r="C14" s="6"/>
      <c r="D14" s="6"/>
      <c r="E14" s="6"/>
      <c r="F14" s="6"/>
      <c r="G14" s="6"/>
      <c r="H14" s="6"/>
    </row>
    <row r="15" spans="1:11" ht="15" customHeight="1" x14ac:dyDescent="0.35">
      <c r="A15" s="15" t="s">
        <v>2845</v>
      </c>
      <c r="B15" s="6" t="s">
        <v>2846</v>
      </c>
      <c r="C15" s="6"/>
      <c r="D15" s="6"/>
      <c r="E15" s="6"/>
      <c r="F15" s="6"/>
      <c r="G15" s="6"/>
      <c r="H15" s="6"/>
    </row>
    <row r="17" spans="1:11" ht="15.5" x14ac:dyDescent="0.35">
      <c r="A17" s="13" t="s">
        <v>2847</v>
      </c>
      <c r="B17" s="14"/>
      <c r="C17" s="14"/>
      <c r="D17" s="14"/>
      <c r="E17" s="14"/>
      <c r="F17" s="14"/>
      <c r="G17" s="14"/>
      <c r="H17" s="14"/>
      <c r="I17" s="14"/>
      <c r="J17" s="14"/>
      <c r="K17" s="14"/>
    </row>
    <row r="18" spans="1:11" x14ac:dyDescent="0.35">
      <c r="A18" s="15" t="s">
        <v>2848</v>
      </c>
      <c r="B18" s="17">
        <f>COUNTA('Test Cases'!$A$2:$A$1513)</f>
        <v>353</v>
      </c>
    </row>
    <row r="19" spans="1:11" x14ac:dyDescent="0.35">
      <c r="A19" s="15" t="s">
        <v>2849</v>
      </c>
      <c r="B19" s="17">
        <f>COUNTIF('Test Cases'!$J$2:$J$1513,"Pass")</f>
        <v>169</v>
      </c>
    </row>
    <row r="20" spans="1:11" x14ac:dyDescent="0.35">
      <c r="A20" s="15" t="s">
        <v>2850</v>
      </c>
      <c r="B20" s="17">
        <f>COUNTIF('Test Cases'!$J$2:$J$1513,"Fail")</f>
        <v>137</v>
      </c>
    </row>
    <row r="21" spans="1:11" x14ac:dyDescent="0.35">
      <c r="A21" s="15" t="s">
        <v>678</v>
      </c>
      <c r="B21" s="17">
        <f>COUNTIF('Test Cases'!$J$2:$J$1513,"Blocked")</f>
        <v>47</v>
      </c>
    </row>
    <row r="22" spans="1:11" x14ac:dyDescent="0.35">
      <c r="A22" s="15" t="s">
        <v>2851</v>
      </c>
      <c r="B22" s="17">
        <f>COUNTIF('Test Cases'!$J$2:$J$1513,"Not Applicable")</f>
        <v>0</v>
      </c>
    </row>
    <row r="23" spans="1:11" x14ac:dyDescent="0.35">
      <c r="A23" s="15" t="s">
        <v>2852</v>
      </c>
      <c r="B23" s="17">
        <f>COUNTIF('Test Cases'!$J$2:$J$1513,"Not Executed")</f>
        <v>0</v>
      </c>
    </row>
    <row r="24" spans="1:11" x14ac:dyDescent="0.35">
      <c r="A24" s="15" t="s">
        <v>2853</v>
      </c>
      <c r="B24" s="17">
        <f>B19+B20</f>
        <v>306</v>
      </c>
    </row>
    <row r="25" spans="1:11" ht="28" x14ac:dyDescent="0.35">
      <c r="A25" s="15" t="s">
        <v>2854</v>
      </c>
      <c r="B25" s="18">
        <f>IF(B18=0,0,B24/B18)</f>
        <v>0.86685552407932009</v>
      </c>
    </row>
    <row r="26" spans="1:11" x14ac:dyDescent="0.35">
      <c r="A26" s="15" t="s">
        <v>2855</v>
      </c>
      <c r="B26" s="18">
        <f>IF(B24=0,0,B19/B24)</f>
        <v>0.55228758169934644</v>
      </c>
    </row>
    <row r="27" spans="1:11" x14ac:dyDescent="0.35">
      <c r="A27" s="15" t="s">
        <v>2856</v>
      </c>
      <c r="B27" s="18">
        <f>IF(B18=0,0,B19/B18)</f>
        <v>0.47875354107648727</v>
      </c>
    </row>
    <row r="29" spans="1:11" ht="15.5" x14ac:dyDescent="0.35">
      <c r="A29" s="13" t="s">
        <v>2857</v>
      </c>
      <c r="B29" s="14"/>
      <c r="C29" s="14"/>
      <c r="D29" s="14"/>
      <c r="E29" s="14"/>
      <c r="F29" s="14"/>
      <c r="G29" s="14"/>
      <c r="H29" s="14"/>
      <c r="I29" s="14"/>
      <c r="J29" s="14"/>
      <c r="K29" s="14"/>
    </row>
    <row r="30" spans="1:11" ht="31.5" customHeight="1" x14ac:dyDescent="0.35">
      <c r="A30" s="19" t="s">
        <v>2191</v>
      </c>
      <c r="B30" s="19" t="s">
        <v>2858</v>
      </c>
      <c r="C30" s="19" t="s">
        <v>2859</v>
      </c>
      <c r="D30" s="19" t="s">
        <v>438</v>
      </c>
      <c r="E30" s="19" t="s">
        <v>470</v>
      </c>
      <c r="F30" s="19" t="s">
        <v>678</v>
      </c>
      <c r="G30" s="19" t="s">
        <v>2851</v>
      </c>
      <c r="H30" s="19" t="s">
        <v>2852</v>
      </c>
      <c r="I30" s="19" t="s">
        <v>2860</v>
      </c>
      <c r="J30" s="19" t="s">
        <v>2861</v>
      </c>
      <c r="K30" s="19" t="s">
        <v>2862</v>
      </c>
    </row>
    <row r="31" spans="1:11" x14ac:dyDescent="0.35">
      <c r="A31" s="20" t="s">
        <v>2863</v>
      </c>
      <c r="B31" s="16" t="s">
        <v>2200</v>
      </c>
      <c r="C31" s="17">
        <f>COUNTIF('Test Cases'!$A$2:$A$1513,"TC_LG_*")</f>
        <v>18</v>
      </c>
      <c r="D31" s="17">
        <f>COUNTIFS('Test Cases'!$A$2:$A$1513,"TC_LG_*",'Test Cases'!$J$2:$J$1513,"Pass")</f>
        <v>8</v>
      </c>
      <c r="E31" s="17">
        <f>COUNTIFS('Test Cases'!$A$2:$A$1513,"TC_LG_*",'Test Cases'!$J$2:$J$1513,"Fail")</f>
        <v>10</v>
      </c>
      <c r="F31" s="17">
        <f>COUNTIFS('Test Cases'!$A$2:$A$1513,"TC_LG_*",'Test Cases'!$J$2:$J$1513,"Blocked")</f>
        <v>0</v>
      </c>
      <c r="G31" s="17">
        <f>COUNTIFS('Test Cases'!$A$2:$A$1513,"TC_LG_*",'Test Cases'!$J$2:$J$1513,"Not Applicable")</f>
        <v>0</v>
      </c>
      <c r="H31" s="17">
        <f>COUNTIFS('Test Cases'!$A$2:$A$1513,"TC_LG_*",'Test Cases'!$J$2:$J$1513,"Not Executed")</f>
        <v>0</v>
      </c>
      <c r="I31" s="21">
        <f t="shared" ref="I31:I45" si="0">IF(C31=0,0,(D31+E31)/C31)</f>
        <v>1</v>
      </c>
      <c r="J31" s="21">
        <f t="shared" ref="J31:J45" si="1">IF((D31+E31)=0,0,D31/(D31+E31))</f>
        <v>0.44444444444444442</v>
      </c>
      <c r="K31" s="21">
        <f t="shared" ref="K31:K45" si="2">IF(C31=0,0,D31/C31)</f>
        <v>0.44444444444444442</v>
      </c>
    </row>
    <row r="32" spans="1:11" x14ac:dyDescent="0.35">
      <c r="A32" s="20" t="s">
        <v>2864</v>
      </c>
      <c r="B32" s="16" t="s">
        <v>2219</v>
      </c>
      <c r="C32" s="17">
        <f>COUNTIF('Test Cases'!$A$2:$A$1513,"TC_NC_*")</f>
        <v>52</v>
      </c>
      <c r="D32" s="17">
        <f>COUNTIFS('Test Cases'!$A$2:$A$1513,"TC_NC_*",'Test Cases'!$J$2:$J$1513,"Pass")</f>
        <v>39</v>
      </c>
      <c r="E32" s="17">
        <f>COUNTIFS('Test Cases'!$A$2:$A$1513,"TC_NC_*",'Test Cases'!$J$2:$J$1513,"Fail")</f>
        <v>12</v>
      </c>
      <c r="F32" s="17">
        <f>COUNTIFS('Test Cases'!$A$2:$A$1513,"TC_NC_*",'Test Cases'!$J$2:$J$1513,"Blocked")</f>
        <v>1</v>
      </c>
      <c r="G32" s="17">
        <f>COUNTIFS('Test Cases'!$A$2:$A$1513,"TC_NC_*",'Test Cases'!$J$2:$J$1513,"Not Applicable")</f>
        <v>0</v>
      </c>
      <c r="H32" s="17">
        <f>COUNTIFS('Test Cases'!$A$2:$A$1513,"TC_NC_*",'Test Cases'!$J$2:$J$1513,"Not Executed")</f>
        <v>0</v>
      </c>
      <c r="I32" s="21">
        <f t="shared" si="0"/>
        <v>0.98076923076923073</v>
      </c>
      <c r="J32" s="21">
        <f t="shared" si="1"/>
        <v>0.76470588235294112</v>
      </c>
      <c r="K32" s="21">
        <f t="shared" si="2"/>
        <v>0.75</v>
      </c>
    </row>
    <row r="33" spans="1:11" x14ac:dyDescent="0.35">
      <c r="A33" s="20" t="s">
        <v>2865</v>
      </c>
      <c r="B33" s="16" t="s">
        <v>2279</v>
      </c>
      <c r="C33" s="17">
        <f>COUNTIF('Test Cases'!$A$2:$A$1513,"TC_EC_*")</f>
        <v>40</v>
      </c>
      <c r="D33" s="17">
        <f>COUNTIFS('Test Cases'!$A$2:$A$1513,"TC_EC_*",'Test Cases'!$J$2:$J$1513,"Pass")</f>
        <v>12</v>
      </c>
      <c r="E33" s="17">
        <f>COUNTIFS('Test Cases'!$A$2:$A$1513,"TC_EC_*",'Test Cases'!$J$2:$J$1513,"Fail")</f>
        <v>28</v>
      </c>
      <c r="F33" s="17">
        <f>COUNTIFS('Test Cases'!$A$2:$A$1513,"TC_EC_*",'Test Cases'!$J$2:$J$1513,"Blocked")</f>
        <v>0</v>
      </c>
      <c r="G33" s="17">
        <f>COUNTIFS('Test Cases'!$A$2:$A$1513,"TC_EC_*",'Test Cases'!$J$2:$J$1513,"Not Applicable")</f>
        <v>0</v>
      </c>
      <c r="H33" s="17">
        <f>COUNTIFS('Test Cases'!$A$2:$A$1513,"TC_EC_*",'Test Cases'!$J$2:$J$1513,"Not Executed")</f>
        <v>0</v>
      </c>
      <c r="I33" s="21">
        <f t="shared" si="0"/>
        <v>1</v>
      </c>
      <c r="J33" s="21">
        <f t="shared" si="1"/>
        <v>0.3</v>
      </c>
      <c r="K33" s="21">
        <f t="shared" si="2"/>
        <v>0.3</v>
      </c>
    </row>
    <row r="34" spans="1:11" x14ac:dyDescent="0.35">
      <c r="A34" s="20" t="s">
        <v>2866</v>
      </c>
      <c r="B34" s="16" t="s">
        <v>2299</v>
      </c>
      <c r="C34" s="17">
        <f>COUNTIF('Test Cases'!$A$2:$A$1513,"TC_DC_*")</f>
        <v>14</v>
      </c>
      <c r="D34" s="17">
        <f>COUNTIFS('Test Cases'!$A$2:$A$1513,"TC_DC_*",'Test Cases'!$J$2:$J$1513,"Pass")</f>
        <v>12</v>
      </c>
      <c r="E34" s="17">
        <f>COUNTIFS('Test Cases'!$A$2:$A$1513,"TC_DC_*",'Test Cases'!$J$2:$J$1513,"Fail")</f>
        <v>2</v>
      </c>
      <c r="F34" s="17">
        <f>COUNTIFS('Test Cases'!$A$2:$A$1513,"TC_DC_*",'Test Cases'!$J$2:$J$1513,"Blocked")</f>
        <v>0</v>
      </c>
      <c r="G34" s="17">
        <f>COUNTIFS('Test Cases'!$A$2:$A$1513,"TC_DC_*",'Test Cases'!$J$2:$J$1513,"Not Applicable")</f>
        <v>0</v>
      </c>
      <c r="H34" s="17">
        <f>COUNTIFS('Test Cases'!$A$2:$A$1513,"TC_DC_*",'Test Cases'!$J$2:$J$1513,"Not Executed")</f>
        <v>0</v>
      </c>
      <c r="I34" s="21">
        <f t="shared" si="0"/>
        <v>1</v>
      </c>
      <c r="J34" s="21">
        <f t="shared" si="1"/>
        <v>0.8571428571428571</v>
      </c>
      <c r="K34" s="21">
        <f t="shared" si="2"/>
        <v>0.8571428571428571</v>
      </c>
    </row>
    <row r="35" spans="1:11" x14ac:dyDescent="0.35">
      <c r="A35" s="20" t="s">
        <v>2867</v>
      </c>
      <c r="B35" s="16" t="s">
        <v>2306</v>
      </c>
      <c r="C35" s="17">
        <f>COUNTIF('Test Cases'!$A$2:$A$1513,"TC_NA_*")</f>
        <v>29</v>
      </c>
      <c r="D35" s="17">
        <f>COUNTIFS('Test Cases'!$A$2:$A$1513,"TC_NA_*",'Test Cases'!$J$2:$J$1513,"Pass")</f>
        <v>23</v>
      </c>
      <c r="E35" s="17">
        <f>COUNTIFS('Test Cases'!$A$2:$A$1513,"TC_NA_*",'Test Cases'!$J$2:$J$1513,"Fail")</f>
        <v>4</v>
      </c>
      <c r="F35" s="17">
        <f>COUNTIFS('Test Cases'!$A$2:$A$1513,"TC_NA_*",'Test Cases'!$J$2:$J$1513,"Blocked")</f>
        <v>2</v>
      </c>
      <c r="G35" s="17">
        <f>COUNTIFS('Test Cases'!$A$2:$A$1513,"TC_NA_*",'Test Cases'!$J$2:$J$1513,"Not Applicable")</f>
        <v>0</v>
      </c>
      <c r="H35" s="17">
        <f>COUNTIFS('Test Cases'!$A$2:$A$1513,"TC_NA_*",'Test Cases'!$J$2:$J$1513,"Not Executed")</f>
        <v>0</v>
      </c>
      <c r="I35" s="21">
        <f t="shared" si="0"/>
        <v>0.93103448275862066</v>
      </c>
      <c r="J35" s="21">
        <f t="shared" si="1"/>
        <v>0.85185185185185186</v>
      </c>
      <c r="K35" s="21">
        <f t="shared" si="2"/>
        <v>0.7931034482758621</v>
      </c>
    </row>
    <row r="36" spans="1:11" x14ac:dyDescent="0.35">
      <c r="A36" s="20" t="s">
        <v>2868</v>
      </c>
      <c r="B36" s="16" t="s">
        <v>2326</v>
      </c>
      <c r="C36" s="17">
        <f>COUNTIF('Test Cases'!$A$2:$A$1513,"TC_EA_*")</f>
        <v>15</v>
      </c>
      <c r="D36" s="17">
        <f>COUNTIFS('Test Cases'!$A$2:$A$1513,"TC_EA_*",'Test Cases'!$J$2:$J$1513,"Pass")</f>
        <v>1</v>
      </c>
      <c r="E36" s="17">
        <f>COUNTIFS('Test Cases'!$A$2:$A$1513,"TC_EA_*",'Test Cases'!$J$2:$J$1513,"Fail")</f>
        <v>1</v>
      </c>
      <c r="F36" s="17">
        <f>COUNTIFS('Test Cases'!$A$2:$A$1513,"TC_EA_*",'Test Cases'!$J$2:$J$1513,"Blocked")</f>
        <v>13</v>
      </c>
      <c r="G36" s="17">
        <f>COUNTIFS('Test Cases'!$A$2:$A$1513,"TC_EA_*",'Test Cases'!$J$2:$J$1513,"Not Applicable")</f>
        <v>0</v>
      </c>
      <c r="H36" s="17">
        <f>COUNTIFS('Test Cases'!$A$2:$A$1513,"TC_EA_*",'Test Cases'!$J$2:$J$1513,"Not Executed")</f>
        <v>0</v>
      </c>
      <c r="I36" s="21">
        <f t="shared" si="0"/>
        <v>0.13333333333333333</v>
      </c>
      <c r="J36" s="21">
        <f t="shared" si="1"/>
        <v>0.5</v>
      </c>
      <c r="K36" s="21">
        <f t="shared" si="2"/>
        <v>6.6666666666666666E-2</v>
      </c>
    </row>
    <row r="37" spans="1:11" x14ac:dyDescent="0.35">
      <c r="A37" s="20" t="s">
        <v>2869</v>
      </c>
      <c r="B37" s="16" t="s">
        <v>2340</v>
      </c>
      <c r="C37" s="17">
        <f>COUNTIF('Test Cases'!$A$2:$A$1513,"TC_DA_*")</f>
        <v>13</v>
      </c>
      <c r="D37" s="17">
        <f>COUNTIFS('Test Cases'!$A$2:$A$1513,"TC_DA_*",'Test Cases'!$J$2:$J$1513,"Pass")</f>
        <v>4</v>
      </c>
      <c r="E37" s="17">
        <f>COUNTIFS('Test Cases'!$A$2:$A$1513,"TC_DA_*",'Test Cases'!$J$2:$J$1513,"Fail")</f>
        <v>4</v>
      </c>
      <c r="F37" s="17">
        <f>COUNTIFS('Test Cases'!$A$2:$A$1513,"TC_DA_*",'Test Cases'!$J$2:$J$1513,"Blocked")</f>
        <v>5</v>
      </c>
      <c r="G37" s="17">
        <f>COUNTIFS('Test Cases'!$A$2:$A$1513,"TC_DA_*",'Test Cases'!$J$2:$J$1513,"Not Applicable")</f>
        <v>0</v>
      </c>
      <c r="H37" s="17">
        <f>COUNTIFS('Test Cases'!$A$2:$A$1513,"TC_DA_*",'Test Cases'!$J$2:$J$1513,"Not Executed")</f>
        <v>0</v>
      </c>
      <c r="I37" s="21">
        <f t="shared" si="0"/>
        <v>0.61538461538461542</v>
      </c>
      <c r="J37" s="21">
        <f t="shared" si="1"/>
        <v>0.5</v>
      </c>
      <c r="K37" s="21">
        <f t="shared" si="2"/>
        <v>0.30769230769230771</v>
      </c>
    </row>
    <row r="38" spans="1:11" x14ac:dyDescent="0.35">
      <c r="A38" s="20" t="s">
        <v>2870</v>
      </c>
      <c r="B38" s="16" t="s">
        <v>2348</v>
      </c>
      <c r="C38" s="17">
        <f>COUNTIF('Test Cases'!$A$2:$A$1513,"TC_DP_*")</f>
        <v>27</v>
      </c>
      <c r="D38" s="17">
        <f>COUNTIFS('Test Cases'!$A$2:$A$1513,"TC_DP_*",'Test Cases'!$J$2:$J$1513,"Pass")</f>
        <v>8</v>
      </c>
      <c r="E38" s="17">
        <f>COUNTIFS('Test Cases'!$A$2:$A$1513,"TC_DP_*",'Test Cases'!$J$2:$J$1513,"Fail")</f>
        <v>3</v>
      </c>
      <c r="F38" s="17">
        <f>COUNTIFS('Test Cases'!$A$2:$A$1513,"TC_DP_*",'Test Cases'!$J$2:$J$1513,"Blocked")</f>
        <v>16</v>
      </c>
      <c r="G38" s="17">
        <f>COUNTIFS('Test Cases'!$A$2:$A$1513,"TC_DP_*",'Test Cases'!$J$2:$J$1513,"Not Applicable")</f>
        <v>0</v>
      </c>
      <c r="H38" s="17">
        <f>COUNTIFS('Test Cases'!$A$2:$A$1513,"TC_DP_*",'Test Cases'!$J$2:$J$1513,"Not Executed")</f>
        <v>0</v>
      </c>
      <c r="I38" s="21">
        <f t="shared" si="0"/>
        <v>0.40740740740740738</v>
      </c>
      <c r="J38" s="21">
        <f t="shared" si="1"/>
        <v>0.72727272727272729</v>
      </c>
      <c r="K38" s="21">
        <f t="shared" si="2"/>
        <v>0.29629629629629628</v>
      </c>
    </row>
    <row r="39" spans="1:11" x14ac:dyDescent="0.35">
      <c r="A39" s="20" t="s">
        <v>2871</v>
      </c>
      <c r="B39" s="16" t="s">
        <v>2369</v>
      </c>
      <c r="C39" s="17">
        <f>COUNTIF('Test Cases'!$A$2:$A$1513,"TC_WD_*")</f>
        <v>29</v>
      </c>
      <c r="D39" s="17">
        <f>COUNTIFS('Test Cases'!$A$2:$A$1513,"TC_WD_*",'Test Cases'!$J$2:$J$1513,"Pass")</f>
        <v>13</v>
      </c>
      <c r="E39" s="17">
        <f>COUNTIFS('Test Cases'!$A$2:$A$1513,"TC_WD_*",'Test Cases'!$J$2:$J$1513,"Fail")</f>
        <v>16</v>
      </c>
      <c r="F39" s="17">
        <f>COUNTIFS('Test Cases'!$A$2:$A$1513,"TC_WD_*",'Test Cases'!$J$2:$J$1513,"Blocked")</f>
        <v>0</v>
      </c>
      <c r="G39" s="17">
        <f>COUNTIFS('Test Cases'!$A$2:$A$1513,"TC_WD_*",'Test Cases'!$J$2:$J$1513,"Not Applicable")</f>
        <v>0</v>
      </c>
      <c r="H39" s="17">
        <f>COUNTIFS('Test Cases'!$A$2:$A$1513,"TC_WD_*",'Test Cases'!$J$2:$J$1513,"Not Executed")</f>
        <v>0</v>
      </c>
      <c r="I39" s="21">
        <f t="shared" si="0"/>
        <v>1</v>
      </c>
      <c r="J39" s="21">
        <f t="shared" si="1"/>
        <v>0.44827586206896552</v>
      </c>
      <c r="K39" s="21">
        <f t="shared" si="2"/>
        <v>0.44827586206896552</v>
      </c>
    </row>
    <row r="40" spans="1:11" x14ac:dyDescent="0.35">
      <c r="A40" s="20" t="s">
        <v>2872</v>
      </c>
      <c r="B40" s="16" t="s">
        <v>2381</v>
      </c>
      <c r="C40" s="17">
        <f>COUNTIF('Test Cases'!$A$2:$A$1513,"TC_FT_*")</f>
        <v>31</v>
      </c>
      <c r="D40" s="17">
        <f>COUNTIFS('Test Cases'!$A$2:$A$1513,"TC_FT_*",'Test Cases'!$J$2:$J$1513,"Pass")</f>
        <v>13</v>
      </c>
      <c r="E40" s="17">
        <f>COUNTIFS('Test Cases'!$A$2:$A$1513,"TC_FT_*",'Test Cases'!$J$2:$J$1513,"Fail")</f>
        <v>18</v>
      </c>
      <c r="F40" s="17">
        <f>COUNTIFS('Test Cases'!$A$2:$A$1513,"TC_FT_*",'Test Cases'!$J$2:$J$1513,"Blocked")</f>
        <v>0</v>
      </c>
      <c r="G40" s="17">
        <f>COUNTIFS('Test Cases'!$A$2:$A$1513,"TC_FT_*",'Test Cases'!$J$2:$J$1513,"Not Applicable")</f>
        <v>0</v>
      </c>
      <c r="H40" s="17">
        <f>COUNTIFS('Test Cases'!$A$2:$A$1513,"TC_FT_*",'Test Cases'!$J$2:$J$1513,"Not Executed")</f>
        <v>0</v>
      </c>
      <c r="I40" s="21">
        <f t="shared" si="0"/>
        <v>1</v>
      </c>
      <c r="J40" s="21">
        <f t="shared" si="1"/>
        <v>0.41935483870967744</v>
      </c>
      <c r="K40" s="21">
        <f t="shared" si="2"/>
        <v>0.41935483870967744</v>
      </c>
    </row>
    <row r="41" spans="1:11" x14ac:dyDescent="0.35">
      <c r="A41" s="20" t="s">
        <v>2873</v>
      </c>
      <c r="B41" s="16" t="s">
        <v>2408</v>
      </c>
      <c r="C41" s="17">
        <f>COUNTIF('Test Cases'!$A$2:$A$1513,"TC_BE_*")</f>
        <v>15</v>
      </c>
      <c r="D41" s="17">
        <f>COUNTIFS('Test Cases'!$A$2:$A$1513,"TC_BE_*",'Test Cases'!$J$2:$J$1513,"Pass")</f>
        <v>6</v>
      </c>
      <c r="E41" s="17">
        <f>COUNTIFS('Test Cases'!$A$2:$A$1513,"TC_BE_*",'Test Cases'!$J$2:$J$1513,"Fail")</f>
        <v>4</v>
      </c>
      <c r="F41" s="17">
        <f>COUNTIFS('Test Cases'!$A$2:$A$1513,"TC_BE_*",'Test Cases'!$J$2:$J$1513,"Blocked")</f>
        <v>5</v>
      </c>
      <c r="G41" s="17">
        <f>COUNTIFS('Test Cases'!$A$2:$A$1513,"TC_BE_*",'Test Cases'!$J$2:$J$1513,"Not Applicable")</f>
        <v>0</v>
      </c>
      <c r="H41" s="17">
        <f>COUNTIFS('Test Cases'!$A$2:$A$1513,"TC_BE_*",'Test Cases'!$J$2:$J$1513,"Not Executed")</f>
        <v>0</v>
      </c>
      <c r="I41" s="21">
        <f t="shared" si="0"/>
        <v>0.66666666666666663</v>
      </c>
      <c r="J41" s="21">
        <f t="shared" si="1"/>
        <v>0.6</v>
      </c>
      <c r="K41" s="21">
        <f t="shared" si="2"/>
        <v>0.4</v>
      </c>
    </row>
    <row r="42" spans="1:11" x14ac:dyDescent="0.35">
      <c r="A42" s="20" t="s">
        <v>2874</v>
      </c>
      <c r="B42" s="16" t="s">
        <v>2418</v>
      </c>
      <c r="C42" s="17">
        <f>COUNTIF('Test Cases'!$A$2:$A$1513,"TC_MS_*")</f>
        <v>20</v>
      </c>
      <c r="D42" s="17">
        <f>COUNTIFS('Test Cases'!$A$2:$A$1513,"TC_MS_*",'Test Cases'!$J$2:$J$1513,"Pass")</f>
        <v>6</v>
      </c>
      <c r="E42" s="17">
        <f>COUNTIFS('Test Cases'!$A$2:$A$1513,"TC_MS_*",'Test Cases'!$J$2:$J$1513,"Fail")</f>
        <v>9</v>
      </c>
      <c r="F42" s="17">
        <f>COUNTIFS('Test Cases'!$A$2:$A$1513,"TC_MS_*",'Test Cases'!$J$2:$J$1513,"Blocked")</f>
        <v>5</v>
      </c>
      <c r="G42" s="17">
        <f>COUNTIFS('Test Cases'!$A$2:$A$1513,"TC_MS_*",'Test Cases'!$J$2:$J$1513,"Not Applicable")</f>
        <v>0</v>
      </c>
      <c r="H42" s="17">
        <f>COUNTIFS('Test Cases'!$A$2:$A$1513,"TC_MS_*",'Test Cases'!$J$2:$J$1513,"Not Executed")</f>
        <v>0</v>
      </c>
      <c r="I42" s="21">
        <f t="shared" si="0"/>
        <v>0.75</v>
      </c>
      <c r="J42" s="21">
        <f t="shared" si="1"/>
        <v>0.4</v>
      </c>
      <c r="K42" s="21">
        <f t="shared" si="2"/>
        <v>0.3</v>
      </c>
    </row>
    <row r="43" spans="1:11" x14ac:dyDescent="0.35">
      <c r="A43" s="20" t="s">
        <v>2875</v>
      </c>
      <c r="B43" s="16" t="s">
        <v>2428</v>
      </c>
      <c r="C43" s="17">
        <f>COUNTIF('Test Cases'!$A$2:$A$1513,"TC_CS_*")</f>
        <v>27</v>
      </c>
      <c r="D43" s="17">
        <f>COUNTIFS('Test Cases'!$A$2:$A$1513,"TC_CS_*",'Test Cases'!$J$2:$J$1513,"Pass")</f>
        <v>4</v>
      </c>
      <c r="E43" s="17">
        <f>COUNTIFS('Test Cases'!$A$2:$A$1513,"TC_CS_*",'Test Cases'!$J$2:$J$1513,"Fail")</f>
        <v>23</v>
      </c>
      <c r="F43" s="17">
        <f>COUNTIFS('Test Cases'!$A$2:$A$1513,"TC_CS_*",'Test Cases'!$J$2:$J$1513,"Blocked")</f>
        <v>0</v>
      </c>
      <c r="G43" s="17">
        <f>COUNTIFS('Test Cases'!$A$2:$A$1513,"TC_CS_*",'Test Cases'!$J$2:$J$1513,"Not Applicable")</f>
        <v>0</v>
      </c>
      <c r="H43" s="17">
        <f>COUNTIFS('Test Cases'!$A$2:$A$1513,"TC_CS_*",'Test Cases'!$J$2:$J$1513,"Not Executed")</f>
        <v>0</v>
      </c>
      <c r="I43" s="21">
        <f t="shared" si="0"/>
        <v>1</v>
      </c>
      <c r="J43" s="21">
        <f t="shared" si="1"/>
        <v>0.14814814814814814</v>
      </c>
      <c r="K43" s="21">
        <f t="shared" si="2"/>
        <v>0.14814814814814814</v>
      </c>
    </row>
    <row r="44" spans="1:11" x14ac:dyDescent="0.35">
      <c r="A44" s="20" t="s">
        <v>2876</v>
      </c>
      <c r="B44" s="16" t="s">
        <v>2454</v>
      </c>
      <c r="C44" s="17">
        <f>COUNTIF('Test Cases'!$A$2:$A$1513,"TC_CP_*")</f>
        <v>23</v>
      </c>
      <c r="D44" s="17">
        <f>COUNTIFS('Test Cases'!$A$2:$A$1513,"TC_CP_*",'Test Cases'!$J$2:$J$1513,"Pass")</f>
        <v>20</v>
      </c>
      <c r="E44" s="17">
        <f>COUNTIFS('Test Cases'!$A$2:$A$1513,"TC_CP_*",'Test Cases'!$J$2:$J$1513,"Fail")</f>
        <v>3</v>
      </c>
      <c r="F44" s="17">
        <f>COUNTIFS('Test Cases'!$A$2:$A$1513,"TC_CP_*",'Test Cases'!$J$2:$J$1513,"Blocked")</f>
        <v>0</v>
      </c>
      <c r="G44" s="17">
        <f>COUNTIFS('Test Cases'!$A$2:$A$1513,"TC_CP_*",'Test Cases'!$J$2:$J$1513,"Not Applicable")</f>
        <v>0</v>
      </c>
      <c r="H44" s="17">
        <f>COUNTIFS('Test Cases'!$A$2:$A$1513,"TC_CP_*",'Test Cases'!$J$2:$J$1513,"Not Executed")</f>
        <v>0</v>
      </c>
      <c r="I44" s="21">
        <f t="shared" si="0"/>
        <v>1</v>
      </c>
      <c r="J44" s="21">
        <f t="shared" si="1"/>
        <v>0.86956521739130432</v>
      </c>
      <c r="K44" s="21">
        <f t="shared" si="2"/>
        <v>0.86956521739130432</v>
      </c>
    </row>
    <row r="45" spans="1:11" x14ac:dyDescent="0.35">
      <c r="A45" s="20" t="s">
        <v>2859</v>
      </c>
      <c r="B45" s="20"/>
      <c r="C45" s="20">
        <f t="shared" ref="C45:H45" si="3">SUM(C31:C44)</f>
        <v>353</v>
      </c>
      <c r="D45" s="20">
        <f t="shared" si="3"/>
        <v>169</v>
      </c>
      <c r="E45" s="20">
        <f t="shared" si="3"/>
        <v>137</v>
      </c>
      <c r="F45" s="20">
        <f t="shared" si="3"/>
        <v>47</v>
      </c>
      <c r="G45" s="20">
        <f t="shared" si="3"/>
        <v>0</v>
      </c>
      <c r="H45" s="20">
        <f t="shared" si="3"/>
        <v>0</v>
      </c>
      <c r="I45" s="22">
        <f t="shared" si="0"/>
        <v>0.86685552407932009</v>
      </c>
      <c r="J45" s="22">
        <f t="shared" si="1"/>
        <v>0.55228758169934644</v>
      </c>
      <c r="K45" s="22">
        <f t="shared" si="2"/>
        <v>0.47875354107648727</v>
      </c>
    </row>
    <row r="47" spans="1:11" ht="15.5" x14ac:dyDescent="0.35">
      <c r="A47" s="13" t="s">
        <v>2877</v>
      </c>
      <c r="B47" s="14"/>
      <c r="C47" s="14"/>
      <c r="D47" s="14"/>
      <c r="E47" s="14"/>
      <c r="F47" s="14"/>
      <c r="G47" s="14"/>
      <c r="H47" s="14"/>
      <c r="I47" s="14"/>
      <c r="J47" s="14"/>
      <c r="K47" s="14"/>
    </row>
    <row r="48" spans="1:11" ht="28" x14ac:dyDescent="0.35">
      <c r="A48" s="19" t="s">
        <v>425</v>
      </c>
      <c r="B48" s="19"/>
      <c r="C48" s="19" t="s">
        <v>2859</v>
      </c>
      <c r="D48" s="19" t="s">
        <v>438</v>
      </c>
      <c r="E48" s="19" t="s">
        <v>470</v>
      </c>
      <c r="F48" s="19" t="s">
        <v>678</v>
      </c>
      <c r="G48" s="19" t="s">
        <v>2851</v>
      </c>
      <c r="H48" s="19" t="s">
        <v>2852</v>
      </c>
    </row>
    <row r="49" spans="1:11" x14ac:dyDescent="0.35">
      <c r="A49" s="20" t="s">
        <v>435</v>
      </c>
      <c r="B49" s="16"/>
      <c r="C49" s="17">
        <f>COUNTIF('Test Cases'!$G$2:$G$1513,"High")</f>
        <v>217</v>
      </c>
      <c r="D49" s="17">
        <f>COUNTIFS('Test Cases'!$G$2:$G$1513,"High",'Test Cases'!$J$2:$J$1513,"Pass")</f>
        <v>114</v>
      </c>
      <c r="E49" s="17">
        <f>COUNTIFS('Test Cases'!$G$2:$G$1513,"High",'Test Cases'!$J$2:$J$1513,"Fail")</f>
        <v>79</v>
      </c>
      <c r="F49" s="17">
        <f>COUNTIFS('Test Cases'!$G$2:$G$1513,"High",'Test Cases'!$J$2:$J$1513,"Blocked")</f>
        <v>24</v>
      </c>
      <c r="G49" s="17">
        <f>COUNTIFS('Test Cases'!$G$2:$G$1513,"High",'Test Cases'!$J$2:$J$1513,"Not Applicable")</f>
        <v>0</v>
      </c>
      <c r="H49" s="17">
        <f>COUNTIFS('Test Cases'!$G$2:$G$1513,"High",'Test Cases'!$J$2:$J$1513,"Not Executed")</f>
        <v>0</v>
      </c>
    </row>
    <row r="50" spans="1:11" x14ac:dyDescent="0.35">
      <c r="A50" s="20" t="s">
        <v>484</v>
      </c>
      <c r="B50" s="16"/>
      <c r="C50" s="17">
        <f>COUNTIF('Test Cases'!$G$2:$G$1513,"Medium")</f>
        <v>92</v>
      </c>
      <c r="D50" s="17">
        <f>COUNTIFS('Test Cases'!$G$2:$G$1513,"Medium",'Test Cases'!$J$2:$J$1513,"Pass")</f>
        <v>42</v>
      </c>
      <c r="E50" s="17">
        <f>COUNTIFS('Test Cases'!$G$2:$G$1513,"Medium",'Test Cases'!$J$2:$J$1513,"Fail")</f>
        <v>34</v>
      </c>
      <c r="F50" s="17">
        <f>COUNTIFS('Test Cases'!$G$2:$G$1513,"Medium",'Test Cases'!$J$2:$J$1513,"Blocked")</f>
        <v>16</v>
      </c>
      <c r="G50" s="17">
        <f>COUNTIFS('Test Cases'!$G$2:$G$1513,"Medium",'Test Cases'!$J$2:$J$1513,"Not Applicable")</f>
        <v>0</v>
      </c>
      <c r="H50" s="17">
        <f>COUNTIFS('Test Cases'!$G$2:$G$1513,"Medium",'Test Cases'!$J$2:$J$1513,"Not Executed")</f>
        <v>0</v>
      </c>
    </row>
    <row r="51" spans="1:11" x14ac:dyDescent="0.35">
      <c r="A51" s="20" t="s">
        <v>538</v>
      </c>
      <c r="B51" s="16"/>
      <c r="C51" s="17">
        <f>COUNTIF('Test Cases'!$G$2:$G$1513,"Low")</f>
        <v>44</v>
      </c>
      <c r="D51" s="17">
        <f>COUNTIFS('Test Cases'!$G$2:$G$1513,"Low",'Test Cases'!$J$2:$J$1513,"Pass")</f>
        <v>13</v>
      </c>
      <c r="E51" s="17">
        <f>COUNTIFS('Test Cases'!$G$2:$G$1513,"Low",'Test Cases'!$J$2:$J$1513,"Fail")</f>
        <v>24</v>
      </c>
      <c r="F51" s="17">
        <f>COUNTIFS('Test Cases'!$G$2:$G$1513,"Low",'Test Cases'!$J$2:$J$1513,"Blocked")</f>
        <v>7</v>
      </c>
      <c r="G51" s="17">
        <f>COUNTIFS('Test Cases'!$G$2:$G$1513,"Low",'Test Cases'!$J$2:$J$1513,"Not Applicable")</f>
        <v>0</v>
      </c>
      <c r="H51" s="17">
        <f>COUNTIFS('Test Cases'!$G$2:$G$1513,"Low",'Test Cases'!$J$2:$J$1513,"Not Executed")</f>
        <v>0</v>
      </c>
    </row>
    <row r="53" spans="1:11" ht="15.5" x14ac:dyDescent="0.35">
      <c r="A53" s="13" t="s">
        <v>2878</v>
      </c>
      <c r="B53" s="14"/>
      <c r="C53" s="14"/>
      <c r="D53" s="14"/>
      <c r="E53" s="14"/>
      <c r="F53" s="14"/>
      <c r="G53" s="14"/>
      <c r="H53" s="14"/>
      <c r="I53" s="14"/>
      <c r="J53" s="14"/>
      <c r="K53" s="14"/>
    </row>
    <row r="54" spans="1:11" ht="28" x14ac:dyDescent="0.35">
      <c r="A54" s="19" t="s">
        <v>2196</v>
      </c>
      <c r="B54" s="19"/>
      <c r="C54" s="19" t="s">
        <v>2879</v>
      </c>
    </row>
    <row r="55" spans="1:11" x14ac:dyDescent="0.35">
      <c r="A55" s="20" t="s">
        <v>438</v>
      </c>
      <c r="B55" s="16"/>
      <c r="C55" s="17">
        <f>COUNTIF('RTM'!$K$2:$K$500,"Pass")</f>
        <v>78</v>
      </c>
    </row>
    <row r="56" spans="1:11" x14ac:dyDescent="0.35">
      <c r="A56" s="20" t="s">
        <v>470</v>
      </c>
      <c r="B56" s="16"/>
      <c r="C56" s="17">
        <f>COUNTIF('RTM'!$K$2:$K$500,"Fail")</f>
        <v>40</v>
      </c>
    </row>
    <row r="57" spans="1:11" x14ac:dyDescent="0.35">
      <c r="A57" s="20" t="s">
        <v>678</v>
      </c>
      <c r="B57" s="16"/>
      <c r="C57" s="17">
        <f>COUNTIF('RTM'!$K$2:$K$500,"Blocked")</f>
        <v>9</v>
      </c>
    </row>
    <row r="58" spans="1:11" x14ac:dyDescent="0.35">
      <c r="A58" s="20" t="s">
        <v>2880</v>
      </c>
      <c r="B58" s="16"/>
      <c r="C58" s="17">
        <f>COUNTIF('RTM'!$K$2:$K$500,"Partially executed")</f>
        <v>0</v>
      </c>
    </row>
    <row r="59" spans="1:11" x14ac:dyDescent="0.35">
      <c r="A59" s="20" t="s">
        <v>2881</v>
      </c>
      <c r="B59" s="16"/>
      <c r="C59" s="17">
        <f>COUNTIF('RTM'!$K$2:$K$500,"Not covered")</f>
        <v>4</v>
      </c>
    </row>
    <row r="60" spans="1:11" x14ac:dyDescent="0.35">
      <c r="A60" s="20" t="s">
        <v>2882</v>
      </c>
      <c r="B60" s="20"/>
      <c r="C60" s="20">
        <f>SUM(C55:C59)</f>
        <v>131</v>
      </c>
    </row>
    <row r="61" spans="1:11" ht="28" x14ac:dyDescent="0.35">
      <c r="A61" s="15" t="s">
        <v>2883</v>
      </c>
      <c r="B61" s="16"/>
      <c r="C61" s="21">
        <f>IF($C$60=0,0,($C$60-$C$59)/$C$60)</f>
        <v>0.96946564885496178</v>
      </c>
    </row>
    <row r="63" spans="1:11" ht="15.5" x14ac:dyDescent="0.35">
      <c r="A63" s="13" t="s">
        <v>2884</v>
      </c>
      <c r="B63" s="14"/>
      <c r="C63" s="14"/>
      <c r="D63" s="14"/>
      <c r="E63" s="14"/>
      <c r="F63" s="14"/>
      <c r="G63" s="14"/>
      <c r="H63" s="14"/>
      <c r="I63" s="14"/>
      <c r="J63" s="14"/>
      <c r="K63" s="14"/>
    </row>
    <row r="64" spans="1:11" x14ac:dyDescent="0.35">
      <c r="A64" s="15" t="s">
        <v>2885</v>
      </c>
      <c r="B64" s="17">
        <f>COUNTA('Bug Report'!$A$2:$A$500)</f>
        <v>41</v>
      </c>
    </row>
    <row r="65" spans="1:9" ht="28" x14ac:dyDescent="0.35">
      <c r="A65" s="15" t="s">
        <v>2886</v>
      </c>
      <c r="B65" s="17" t="str">
        <f>COUNTIF('Failed-Blocked Tests'!$G$2:$G$500,"BUG_*")&amp;" of "&amp;COUNTA('Failed-Blocked Tests'!$A$2:$A$500)</f>
        <v>178 of 184</v>
      </c>
    </row>
    <row r="67" spans="1:9" ht="28" x14ac:dyDescent="0.35">
      <c r="A67" s="19" t="s">
        <v>2524</v>
      </c>
      <c r="B67" s="19"/>
      <c r="C67" s="19" t="s">
        <v>2534</v>
      </c>
      <c r="D67" s="19" t="s">
        <v>2887</v>
      </c>
      <c r="E67" s="19" t="s">
        <v>2888</v>
      </c>
      <c r="F67" s="19" t="s">
        <v>2889</v>
      </c>
      <c r="G67" s="19" t="s">
        <v>2890</v>
      </c>
      <c r="H67" s="19" t="s">
        <v>2891</v>
      </c>
      <c r="I67" s="19" t="s">
        <v>2859</v>
      </c>
    </row>
    <row r="68" spans="1:9" x14ac:dyDescent="0.35">
      <c r="A68" s="20" t="s">
        <v>2533</v>
      </c>
      <c r="B68" s="16"/>
      <c r="C68" s="17">
        <f>COUNTIFS('Bug Report'!$I$2:$I$500,"Critical",'Bug Report'!$K$2:$K$500,"Open")</f>
        <v>5</v>
      </c>
      <c r="D68" s="17">
        <f>COUNTIFS('Bug Report'!$I$2:$I$500,"Critical",'Bug Report'!$K$2:$K$500,"In Progress")</f>
        <v>0</v>
      </c>
      <c r="E68" s="17">
        <f>COUNTIFS('Bug Report'!$I$2:$I$500,"Critical",'Bug Report'!$K$2:$K$500,"Fixed")</f>
        <v>0</v>
      </c>
      <c r="F68" s="17">
        <f>COUNTIFS('Bug Report'!$I$2:$I$500,"Critical",'Bug Report'!$K$2:$K$500,"Retest")</f>
        <v>0</v>
      </c>
      <c r="G68" s="17">
        <f>COUNTIFS('Bug Report'!$I$2:$I$500,"Critical",'Bug Report'!$K$2:$K$500,"Closed")</f>
        <v>0</v>
      </c>
      <c r="H68" s="17">
        <f>COUNTIFS('Bug Report'!$I$2:$I$500,"Critical",'Bug Report'!$K$2:$K$500,"Rejected")</f>
        <v>0</v>
      </c>
      <c r="I68" s="20">
        <f>SUM(C68:H68)</f>
        <v>5</v>
      </c>
    </row>
    <row r="69" spans="1:9" x14ac:dyDescent="0.35">
      <c r="A69" s="20" t="s">
        <v>435</v>
      </c>
      <c r="B69" s="16"/>
      <c r="C69" s="17">
        <f>COUNTIFS('Bug Report'!$I$2:$I$500,"High",'Bug Report'!$K$2:$K$500,"Open")</f>
        <v>10</v>
      </c>
      <c r="D69" s="17">
        <f>COUNTIFS('Bug Report'!$I$2:$I$500,"High",'Bug Report'!$K$2:$K$500,"In Progress")</f>
        <v>0</v>
      </c>
      <c r="E69" s="17">
        <f>COUNTIFS('Bug Report'!$I$2:$I$500,"High",'Bug Report'!$K$2:$K$500,"Fixed")</f>
        <v>0</v>
      </c>
      <c r="F69" s="17">
        <f>COUNTIFS('Bug Report'!$I$2:$I$500,"High",'Bug Report'!$K$2:$K$500,"Retest")</f>
        <v>0</v>
      </c>
      <c r="G69" s="17">
        <f>COUNTIFS('Bug Report'!$I$2:$I$500,"High",'Bug Report'!$K$2:$K$500,"Closed")</f>
        <v>0</v>
      </c>
      <c r="H69" s="17">
        <f>COUNTIFS('Bug Report'!$I$2:$I$500,"High",'Bug Report'!$K$2:$K$500,"Rejected")</f>
        <v>0</v>
      </c>
      <c r="I69" s="20">
        <f>SUM(C69:H69)</f>
        <v>10</v>
      </c>
    </row>
    <row r="70" spans="1:9" x14ac:dyDescent="0.35">
      <c r="A70" s="20" t="s">
        <v>484</v>
      </c>
      <c r="B70" s="16"/>
      <c r="C70" s="17">
        <f>COUNTIFS('Bug Report'!$I$2:$I$500,"Medium",'Bug Report'!$K$2:$K$500,"Open")</f>
        <v>18</v>
      </c>
      <c r="D70" s="17">
        <f>COUNTIFS('Bug Report'!$I$2:$I$500,"Medium",'Bug Report'!$K$2:$K$500,"In Progress")</f>
        <v>0</v>
      </c>
      <c r="E70" s="17">
        <f>COUNTIFS('Bug Report'!$I$2:$I$500,"Medium",'Bug Report'!$K$2:$K$500,"Fixed")</f>
        <v>0</v>
      </c>
      <c r="F70" s="17">
        <f>COUNTIFS('Bug Report'!$I$2:$I$500,"Medium",'Bug Report'!$K$2:$K$500,"Retest")</f>
        <v>0</v>
      </c>
      <c r="G70" s="17">
        <f>COUNTIFS('Bug Report'!$I$2:$I$500,"Medium",'Bug Report'!$K$2:$K$500,"Closed")</f>
        <v>0</v>
      </c>
      <c r="H70" s="17">
        <f>COUNTIFS('Bug Report'!$I$2:$I$500,"Medium",'Bug Report'!$K$2:$K$500,"Rejected")</f>
        <v>0</v>
      </c>
      <c r="I70" s="20">
        <f>SUM(C70:H70)</f>
        <v>18</v>
      </c>
    </row>
    <row r="71" spans="1:9" x14ac:dyDescent="0.35">
      <c r="A71" s="20" t="s">
        <v>538</v>
      </c>
      <c r="B71" s="16"/>
      <c r="C71" s="17">
        <f>COUNTIFS('Bug Report'!$I$2:$I$500,"Low",'Bug Report'!$K$2:$K$500,"Open")</f>
        <v>8</v>
      </c>
      <c r="D71" s="17">
        <f>COUNTIFS('Bug Report'!$I$2:$I$500,"Low",'Bug Report'!$K$2:$K$500,"In Progress")</f>
        <v>0</v>
      </c>
      <c r="E71" s="17">
        <f>COUNTIFS('Bug Report'!$I$2:$I$500,"Low",'Bug Report'!$K$2:$K$500,"Fixed")</f>
        <v>0</v>
      </c>
      <c r="F71" s="17">
        <f>COUNTIFS('Bug Report'!$I$2:$I$500,"Low",'Bug Report'!$K$2:$K$500,"Retest")</f>
        <v>0</v>
      </c>
      <c r="G71" s="17">
        <f>COUNTIFS('Bug Report'!$I$2:$I$500,"Low",'Bug Report'!$K$2:$K$500,"Closed")</f>
        <v>0</v>
      </c>
      <c r="H71" s="17">
        <f>COUNTIFS('Bug Report'!$I$2:$I$500,"Low",'Bug Report'!$K$2:$K$500,"Rejected")</f>
        <v>0</v>
      </c>
      <c r="I71" s="20">
        <f>SUM(C71:H71)</f>
        <v>8</v>
      </c>
    </row>
    <row r="72" spans="1:9" x14ac:dyDescent="0.35">
      <c r="A72" s="20" t="s">
        <v>2859</v>
      </c>
      <c r="B72" s="20"/>
      <c r="C72" s="20">
        <f t="shared" ref="C72:I72" si="4">SUM(C68:C71)</f>
        <v>41</v>
      </c>
      <c r="D72" s="20">
        <f t="shared" si="4"/>
        <v>0</v>
      </c>
      <c r="E72" s="20">
        <f t="shared" si="4"/>
        <v>0</v>
      </c>
      <c r="F72" s="20">
        <f t="shared" si="4"/>
        <v>0</v>
      </c>
      <c r="G72" s="20">
        <f t="shared" si="4"/>
        <v>0</v>
      </c>
      <c r="H72" s="20">
        <f t="shared" si="4"/>
        <v>0</v>
      </c>
      <c r="I72" s="20">
        <f t="shared" si="4"/>
        <v>41</v>
      </c>
    </row>
    <row r="74" spans="1:9" x14ac:dyDescent="0.35">
      <c r="A74" s="19" t="s">
        <v>2892</v>
      </c>
      <c r="B74" s="19"/>
      <c r="C74" s="19" t="s">
        <v>2893</v>
      </c>
    </row>
    <row r="75" spans="1:9" x14ac:dyDescent="0.35">
      <c r="A75" s="15" t="s">
        <v>2200</v>
      </c>
      <c r="B75" s="16"/>
      <c r="C75" s="17">
        <f>COUNTIF('Bug Report'!$B$2:$B$500,"[Login]*")</f>
        <v>7</v>
      </c>
    </row>
    <row r="76" spans="1:9" x14ac:dyDescent="0.35">
      <c r="A76" s="15" t="s">
        <v>2219</v>
      </c>
      <c r="B76" s="16"/>
      <c r="C76" s="17">
        <f>COUNTIF('Bug Report'!$B$2:$B$500,"[New Customer]*")</f>
        <v>5</v>
      </c>
    </row>
    <row r="77" spans="1:9" x14ac:dyDescent="0.35">
      <c r="A77" s="15" t="s">
        <v>2279</v>
      </c>
      <c r="B77" s="16"/>
      <c r="C77" s="17">
        <f>COUNTIF('Bug Report'!$B$2:$B$500,"[Edit Customer]*")</f>
        <v>9</v>
      </c>
    </row>
    <row r="78" spans="1:9" x14ac:dyDescent="0.35">
      <c r="A78" s="15" t="s">
        <v>2299</v>
      </c>
      <c r="B78" s="16"/>
      <c r="C78" s="17">
        <f>COUNTIF('Bug Report'!$B$2:$B$500,"[Delete Customer]*")</f>
        <v>1</v>
      </c>
    </row>
    <row r="79" spans="1:9" x14ac:dyDescent="0.35">
      <c r="A79" s="15" t="s">
        <v>2306</v>
      </c>
      <c r="B79" s="16"/>
      <c r="C79" s="17">
        <f>COUNTIF('Bug Report'!$B$2:$B$500,"[New Account]*")</f>
        <v>3</v>
      </c>
    </row>
    <row r="80" spans="1:9" x14ac:dyDescent="0.35">
      <c r="A80" s="15" t="s">
        <v>2326</v>
      </c>
      <c r="B80" s="16"/>
      <c r="C80" s="17">
        <f>COUNTIF('Bug Report'!$B$2:$B$500,"[Edit Account]*")</f>
        <v>1</v>
      </c>
    </row>
    <row r="81" spans="1:11" x14ac:dyDescent="0.35">
      <c r="A81" s="15" t="s">
        <v>2340</v>
      </c>
      <c r="B81" s="16"/>
      <c r="C81" s="17">
        <f>COUNTIF('Bug Report'!$B$2:$B$500,"[Delete Account]*")</f>
        <v>1</v>
      </c>
    </row>
    <row r="82" spans="1:11" x14ac:dyDescent="0.35">
      <c r="A82" s="15" t="s">
        <v>2348</v>
      </c>
      <c r="B82" s="16"/>
      <c r="C82" s="17">
        <f>COUNTIF('Bug Report'!$B$2:$B$500,"[Deposit]*")</f>
        <v>2</v>
      </c>
    </row>
    <row r="83" spans="1:11" x14ac:dyDescent="0.35">
      <c r="A83" s="15" t="s">
        <v>2369</v>
      </c>
      <c r="B83" s="16"/>
      <c r="C83" s="17">
        <f>COUNTIF('Bug Report'!$B$2:$B$500,"[Withdrawal]*")</f>
        <v>2</v>
      </c>
    </row>
    <row r="84" spans="1:11" x14ac:dyDescent="0.35">
      <c r="A84" s="15" t="s">
        <v>2381</v>
      </c>
      <c r="B84" s="16"/>
      <c r="C84" s="17">
        <f>COUNTIF('Bug Report'!$B$2:$B$500,"[Fund Transfer]*")</f>
        <v>2</v>
      </c>
    </row>
    <row r="85" spans="1:11" x14ac:dyDescent="0.35">
      <c r="A85" s="15" t="s">
        <v>2408</v>
      </c>
      <c r="B85" s="16"/>
      <c r="C85" s="17">
        <f>COUNTIF('Bug Report'!$B$2:$B$500,"[Balance Enquiry]*")</f>
        <v>1</v>
      </c>
    </row>
    <row r="86" spans="1:11" x14ac:dyDescent="0.35">
      <c r="A86" s="15" t="s">
        <v>2418</v>
      </c>
      <c r="B86" s="16"/>
      <c r="C86" s="17">
        <f>COUNTIF('Bug Report'!$B$2:$B$500,"[Mini Statement]*")</f>
        <v>1</v>
      </c>
    </row>
    <row r="87" spans="1:11" x14ac:dyDescent="0.35">
      <c r="A87" s="15" t="s">
        <v>2428</v>
      </c>
      <c r="B87" s="16"/>
      <c r="C87" s="17">
        <f>COUNTIF('Bug Report'!$B$2:$B$500,"[Customized Statement]*")</f>
        <v>4</v>
      </c>
    </row>
    <row r="88" spans="1:11" x14ac:dyDescent="0.35">
      <c r="A88" s="15" t="s">
        <v>2454</v>
      </c>
      <c r="B88" s="16"/>
      <c r="C88" s="17">
        <f>COUNTIF('Bug Report'!$B$2:$B$500,"[Change Password]*")</f>
        <v>2</v>
      </c>
    </row>
    <row r="89" spans="1:11" x14ac:dyDescent="0.35">
      <c r="A89" s="20" t="s">
        <v>2859</v>
      </c>
      <c r="B89" s="20"/>
      <c r="C89" s="20">
        <f>SUM(C75:C88)</f>
        <v>41</v>
      </c>
    </row>
    <row r="91" spans="1:11" ht="15.5" x14ac:dyDescent="0.35">
      <c r="A91" s="13" t="s">
        <v>2894</v>
      </c>
      <c r="B91" s="14"/>
      <c r="C91" s="14"/>
      <c r="D91" s="14"/>
      <c r="E91" s="14"/>
      <c r="F91" s="14"/>
      <c r="G91" s="14"/>
      <c r="H91" s="14"/>
      <c r="I91" s="14"/>
      <c r="J91" s="14"/>
      <c r="K91" s="14"/>
    </row>
    <row r="92" spans="1:11" x14ac:dyDescent="0.35">
      <c r="A92" s="19" t="s">
        <v>2895</v>
      </c>
      <c r="B92" s="19"/>
      <c r="C92" s="19" t="s">
        <v>2896</v>
      </c>
      <c r="D92" s="19"/>
      <c r="E92" s="19" t="s">
        <v>2897</v>
      </c>
    </row>
    <row r="93" spans="1:11" ht="15" customHeight="1" x14ac:dyDescent="0.35">
      <c r="A93" s="5" t="s">
        <v>2898</v>
      </c>
      <c r="B93" s="5"/>
      <c r="C93" s="4" t="str">
        <f>IF($B$21+$B$23=0,"Met","Partially met")</f>
        <v>Partially met</v>
      </c>
      <c r="D93" s="4"/>
      <c r="E93" s="6" t="str">
        <f>"Executed (Pass + Fail): "&amp;$B$24&amp;" of "&amp;$B$18&amp;"; Blocked: "&amp;$B$21&amp;"; Not Executed: "&amp;$B$23</f>
        <v>Executed (Pass + Fail): 306 of 353; Blocked: 47; Not Executed: 0</v>
      </c>
      <c r="F93" s="6"/>
      <c r="G93" s="6"/>
      <c r="H93" s="6"/>
      <c r="I93" s="6"/>
      <c r="J93" s="6"/>
      <c r="K93" s="6"/>
    </row>
    <row r="94" spans="1:11" ht="28.4" customHeight="1" x14ac:dyDescent="0.35">
      <c r="A94" s="5" t="s">
        <v>2899</v>
      </c>
      <c r="B94" s="5"/>
      <c r="C94" s="4" t="str">
        <f>IF($B$64&gt;0,"Met","Not met")</f>
        <v>Met</v>
      </c>
      <c r="D94" s="4"/>
      <c r="E94" s="6" t="str">
        <f>$B$64&amp;" defects logged in the Bug Report; every failed or blocked test is listed in the Failed-Blocked Tests sheet"</f>
        <v>41 defects logged in the Bug Report; every failed or blocked test is listed in the Failed-Blocked Tests sheet</v>
      </c>
      <c r="F94" s="6"/>
      <c r="G94" s="6"/>
      <c r="H94" s="6"/>
      <c r="I94" s="6"/>
      <c r="J94" s="6"/>
      <c r="K94" s="6"/>
    </row>
    <row r="95" spans="1:11" ht="15" customHeight="1" x14ac:dyDescent="0.35">
      <c r="A95" s="5" t="s">
        <v>2900</v>
      </c>
      <c r="B95" s="5"/>
      <c r="C95" s="4" t="str">
        <f>IF($C$59=0,"Met","Partially met")</f>
        <v>Partially met</v>
      </c>
      <c r="D95" s="4"/>
      <c r="E95" s="6" t="str">
        <f>$C$59&amp;" of "&amp;$C$60&amp;" requirements have no test case (see the RTM sheet)"</f>
        <v>4 of 131 requirements have no test case (see the RTM sheet)</v>
      </c>
      <c r="F95" s="6"/>
      <c r="G95" s="6"/>
      <c r="H95" s="6"/>
      <c r="I95" s="6"/>
      <c r="J95" s="6"/>
      <c r="K95" s="6"/>
    </row>
    <row r="96" spans="1:11" ht="15" customHeight="1" x14ac:dyDescent="0.35">
      <c r="A96" s="5" t="s">
        <v>2901</v>
      </c>
      <c r="B96" s="5"/>
      <c r="C96" s="4" t="str">
        <f>IF($C$68=0,"Met","Not met")</f>
        <v>Not met</v>
      </c>
      <c r="D96" s="4"/>
      <c r="E96" s="6" t="str">
        <f>$C$68&amp;" Critical and "&amp;$C$69&amp;" High defects are open"</f>
        <v>5 Critical and 10 High defects are open</v>
      </c>
      <c r="F96" s="6"/>
      <c r="G96" s="6"/>
      <c r="H96" s="6"/>
      <c r="I96" s="6"/>
      <c r="J96" s="6"/>
      <c r="K96" s="6"/>
    </row>
    <row r="98" spans="1:11" ht="15.5" x14ac:dyDescent="0.35">
      <c r="A98" s="13" t="s">
        <v>2902</v>
      </c>
      <c r="B98" s="14"/>
      <c r="C98" s="14"/>
      <c r="D98" s="14"/>
      <c r="E98" s="14"/>
      <c r="F98" s="14"/>
      <c r="G98" s="14"/>
      <c r="H98" s="14"/>
      <c r="I98" s="14"/>
      <c r="J98" s="14"/>
      <c r="K98" s="14"/>
    </row>
    <row r="99" spans="1:11" ht="61.5" customHeight="1" x14ac:dyDescent="0.35">
      <c r="A99" s="3" t="str">
        <f>IF($C$68&gt;0,"Release is NOT recommended. "&amp;$C$68&amp;" Critical and "&amp;$C$69&amp;" High defects are open, and "&amp;$B$21&amp;" tests could not be completed because of them. The pass rate is "&amp;TEXT($B$27,"0%")&amp;" of all test cases.","The Critical defects are closed. Review the open High defects before release. The pass rate is "&amp;TEXT($B$27,"0%")&amp;" of all test cases.")</f>
        <v>Release is NOT recommended. 5 Critical and 10 High defects are open, and 47 tests could not be completed because of them. The pass rate is 48% of all test cases.</v>
      </c>
      <c r="B99" s="3"/>
      <c r="C99" s="3"/>
      <c r="D99" s="3"/>
      <c r="E99" s="3"/>
      <c r="F99" s="3"/>
      <c r="G99" s="3"/>
      <c r="H99" s="3"/>
      <c r="I99" s="3"/>
      <c r="J99" s="3"/>
      <c r="K99" s="3"/>
    </row>
    <row r="101" spans="1:11" ht="15.5" x14ac:dyDescent="0.35">
      <c r="A101" s="13" t="s">
        <v>2903</v>
      </c>
      <c r="B101" s="14"/>
      <c r="C101" s="14"/>
      <c r="D101" s="14"/>
      <c r="E101" s="14"/>
      <c r="F101" s="14"/>
      <c r="G101" s="14"/>
      <c r="H101" s="14"/>
      <c r="I101" s="14"/>
      <c r="J101" s="14"/>
      <c r="K101" s="14"/>
    </row>
    <row r="102" spans="1:11" ht="31.5" customHeight="1" x14ac:dyDescent="0.35">
      <c r="A102" s="2" t="s">
        <v>2904</v>
      </c>
      <c r="B102" s="2"/>
      <c r="C102" s="2"/>
      <c r="D102" s="2"/>
      <c r="E102" s="2"/>
      <c r="F102" s="2"/>
      <c r="G102" s="2"/>
      <c r="H102" s="2"/>
      <c r="I102" s="2"/>
      <c r="J102" s="2"/>
      <c r="K102" s="2"/>
    </row>
    <row r="103" spans="1:11" ht="31.5" customHeight="1" x14ac:dyDescent="0.35">
      <c r="A103" s="2" t="s">
        <v>2905</v>
      </c>
      <c r="B103" s="2"/>
      <c r="C103" s="2"/>
      <c r="D103" s="2"/>
      <c r="E103" s="2"/>
      <c r="F103" s="2"/>
      <c r="G103" s="2"/>
      <c r="H103" s="2"/>
      <c r="I103" s="2"/>
      <c r="J103" s="2"/>
      <c r="K103" s="2"/>
    </row>
    <row r="104" spans="1:11" ht="31.5" customHeight="1" x14ac:dyDescent="0.35">
      <c r="A104" s="2" t="s">
        <v>2906</v>
      </c>
      <c r="B104" s="2"/>
      <c r="C104" s="2"/>
      <c r="D104" s="2"/>
      <c r="E104" s="2"/>
      <c r="F104" s="2"/>
      <c r="G104" s="2"/>
      <c r="H104" s="2"/>
      <c r="I104" s="2"/>
      <c r="J104" s="2"/>
      <c r="K104" s="2"/>
    </row>
    <row r="105" spans="1:11" ht="31.5" customHeight="1" x14ac:dyDescent="0.35">
      <c r="A105" s="2" t="s">
        <v>2907</v>
      </c>
      <c r="B105" s="2"/>
      <c r="C105" s="2"/>
      <c r="D105" s="2"/>
      <c r="E105" s="2"/>
      <c r="F105" s="2"/>
      <c r="G105" s="2"/>
      <c r="H105" s="2"/>
      <c r="I105" s="2"/>
      <c r="J105" s="2"/>
      <c r="K105" s="2"/>
    </row>
    <row r="106" spans="1:11" ht="31.5" customHeight="1" x14ac:dyDescent="0.35">
      <c r="A106" s="2" t="s">
        <v>2908</v>
      </c>
      <c r="B106" s="2"/>
      <c r="C106" s="2"/>
      <c r="D106" s="2"/>
      <c r="E106" s="2"/>
      <c r="F106" s="2"/>
      <c r="G106" s="2"/>
      <c r="H106" s="2"/>
      <c r="I106" s="2"/>
      <c r="J106" s="2"/>
      <c r="K106" s="2"/>
    </row>
    <row r="107" spans="1:11" ht="31.5" customHeight="1" x14ac:dyDescent="0.35">
      <c r="A107" s="2" t="s">
        <v>2909</v>
      </c>
      <c r="B107" s="2"/>
      <c r="C107" s="2"/>
      <c r="D107" s="2"/>
      <c r="E107" s="2"/>
      <c r="F107" s="2"/>
      <c r="G107" s="2"/>
      <c r="H107" s="2"/>
      <c r="I107" s="2"/>
      <c r="J107" s="2"/>
      <c r="K107" s="2"/>
    </row>
    <row r="109" spans="1:11" ht="15.5" x14ac:dyDescent="0.35">
      <c r="A109" s="13" t="s">
        <v>2910</v>
      </c>
      <c r="B109" s="14"/>
      <c r="C109" s="14"/>
      <c r="D109" s="14"/>
      <c r="E109" s="14"/>
      <c r="F109" s="14"/>
      <c r="G109" s="14"/>
      <c r="H109" s="14"/>
      <c r="I109" s="14"/>
      <c r="J109" s="14"/>
      <c r="K109" s="14"/>
    </row>
    <row r="110" spans="1:11" ht="31.5" customHeight="1" x14ac:dyDescent="0.35">
      <c r="A110" s="2" t="s">
        <v>2911</v>
      </c>
      <c r="B110" s="2"/>
      <c r="C110" s="2"/>
      <c r="D110" s="2"/>
      <c r="E110" s="2"/>
      <c r="F110" s="2"/>
      <c r="G110" s="2"/>
      <c r="H110" s="2"/>
      <c r="I110" s="2"/>
      <c r="J110" s="2"/>
      <c r="K110" s="2"/>
    </row>
    <row r="111" spans="1:11" ht="31.5" customHeight="1" x14ac:dyDescent="0.35">
      <c r="A111" s="2" t="s">
        <v>2912</v>
      </c>
      <c r="B111" s="2"/>
      <c r="C111" s="2"/>
      <c r="D111" s="2"/>
      <c r="E111" s="2"/>
      <c r="F111" s="2"/>
      <c r="G111" s="2"/>
      <c r="H111" s="2"/>
      <c r="I111" s="2"/>
      <c r="J111" s="2"/>
      <c r="K111" s="2"/>
    </row>
    <row r="112" spans="1:11" ht="31.5" customHeight="1" x14ac:dyDescent="0.35">
      <c r="A112" s="2" t="s">
        <v>2913</v>
      </c>
      <c r="B112" s="2"/>
      <c r="C112" s="2"/>
      <c r="D112" s="2"/>
      <c r="E112" s="2"/>
      <c r="F112" s="2"/>
      <c r="G112" s="2"/>
      <c r="H112" s="2"/>
      <c r="I112" s="2"/>
      <c r="J112" s="2"/>
      <c r="K112" s="2"/>
    </row>
    <row r="113" spans="1:11" ht="31.5" customHeight="1" x14ac:dyDescent="0.35">
      <c r="A113" s="2" t="s">
        <v>2914</v>
      </c>
      <c r="B113" s="2"/>
      <c r="C113" s="2"/>
      <c r="D113" s="2"/>
      <c r="E113" s="2"/>
      <c r="F113" s="2"/>
      <c r="G113" s="2"/>
      <c r="H113" s="2"/>
      <c r="I113" s="2"/>
      <c r="J113" s="2"/>
      <c r="K113" s="2"/>
    </row>
    <row r="115" spans="1:11" ht="15.5" x14ac:dyDescent="0.35">
      <c r="A115" s="13" t="s">
        <v>2915</v>
      </c>
      <c r="B115" s="14"/>
      <c r="C115" s="14"/>
      <c r="D115" s="14"/>
      <c r="E115" s="14"/>
      <c r="F115" s="14"/>
      <c r="G115" s="14"/>
      <c r="H115" s="14"/>
      <c r="I115" s="14"/>
      <c r="J115" s="14"/>
      <c r="K115" s="14"/>
    </row>
    <row r="116" spans="1:11" ht="15" customHeight="1" x14ac:dyDescent="0.35">
      <c r="A116" s="15" t="s">
        <v>2916</v>
      </c>
      <c r="B116" s="6" t="s">
        <v>2844</v>
      </c>
      <c r="C116" s="6"/>
      <c r="D116" s="6"/>
      <c r="E116" s="6"/>
    </row>
    <row r="117" spans="1:11" ht="15" customHeight="1" x14ac:dyDescent="0.35">
      <c r="A117" s="15" t="s">
        <v>2917</v>
      </c>
      <c r="B117" s="6" t="s">
        <v>2918</v>
      </c>
      <c r="C117" s="6"/>
      <c r="D117" s="6"/>
      <c r="E117" s="6"/>
    </row>
  </sheetData>
  <mergeCells count="36">
    <mergeCell ref="A113:K113"/>
    <mergeCell ref="B116:E116"/>
    <mergeCell ref="B117:E117"/>
    <mergeCell ref="A106:K106"/>
    <mergeCell ref="A107:K107"/>
    <mergeCell ref="A110:K110"/>
    <mergeCell ref="A111:K111"/>
    <mergeCell ref="A112:K112"/>
    <mergeCell ref="A99:K99"/>
    <mergeCell ref="A102:K102"/>
    <mergeCell ref="A103:K103"/>
    <mergeCell ref="A104:K104"/>
    <mergeCell ref="A105:K105"/>
    <mergeCell ref="A95:B95"/>
    <mergeCell ref="C95:D95"/>
    <mergeCell ref="E95:K95"/>
    <mergeCell ref="A96:B96"/>
    <mergeCell ref="C96:D96"/>
    <mergeCell ref="E96:K96"/>
    <mergeCell ref="B15:H15"/>
    <mergeCell ref="A93:B93"/>
    <mergeCell ref="C93:D93"/>
    <mergeCell ref="E93:K93"/>
    <mergeCell ref="A94:B94"/>
    <mergeCell ref="C94:D94"/>
    <mergeCell ref="E94:K94"/>
    <mergeCell ref="B10:H10"/>
    <mergeCell ref="B11:H11"/>
    <mergeCell ref="B12:H12"/>
    <mergeCell ref="B13:H13"/>
    <mergeCell ref="B14:H14"/>
    <mergeCell ref="B5:H5"/>
    <mergeCell ref="B6:H6"/>
    <mergeCell ref="B7:H7"/>
    <mergeCell ref="B8:H8"/>
    <mergeCell ref="B9:H9"/>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9"/>
  <sheetViews>
    <sheetView showGridLines="0" tabSelected="1" zoomScaleNormal="100" workbookViewId="0">
      <selection activeCell="E15" sqref="E15"/>
    </sheetView>
  </sheetViews>
  <sheetFormatPr defaultColWidth="8.6328125" defaultRowHeight="14.5" x14ac:dyDescent="0.35"/>
  <cols>
    <col min="1" max="2" width="26" customWidth="1"/>
    <col min="3" max="3" width="24" customWidth="1"/>
    <col min="4" max="4" width="34" customWidth="1"/>
    <col min="5" max="5" width="60" customWidth="1"/>
    <col min="6" max="6" width="50" customWidth="1"/>
    <col min="7" max="7" width="30" customWidth="1"/>
  </cols>
  <sheetData>
    <row r="1" spans="1:6" ht="22.5" x14ac:dyDescent="0.45">
      <c r="A1" s="11" t="s">
        <v>2919</v>
      </c>
    </row>
    <row r="2" spans="1:6" x14ac:dyDescent="0.35">
      <c r="A2" s="23" t="s">
        <v>2920</v>
      </c>
    </row>
    <row r="4" spans="1:6" ht="15.5" x14ac:dyDescent="0.35">
      <c r="A4" s="13" t="s">
        <v>2921</v>
      </c>
      <c r="B4" s="14"/>
      <c r="C4" s="14"/>
      <c r="D4" s="14"/>
      <c r="E4" s="14"/>
      <c r="F4" s="14"/>
    </row>
    <row r="5" spans="1:6" ht="15" customHeight="1" x14ac:dyDescent="0.35">
      <c r="A5" s="8" t="s">
        <v>2922</v>
      </c>
      <c r="B5" s="1" t="s">
        <v>2923</v>
      </c>
      <c r="C5" s="1"/>
      <c r="D5" s="1"/>
      <c r="E5" s="1"/>
      <c r="F5" s="1"/>
    </row>
    <row r="6" spans="1:6" ht="15" customHeight="1" x14ac:dyDescent="0.35">
      <c r="A6" s="8" t="s">
        <v>2924</v>
      </c>
      <c r="B6" s="1" t="s">
        <v>2925</v>
      </c>
      <c r="C6" s="1"/>
      <c r="D6" s="1"/>
      <c r="E6" s="1"/>
      <c r="F6" s="1"/>
    </row>
    <row r="7" spans="1:6" ht="15" customHeight="1" x14ac:dyDescent="0.35">
      <c r="A7" s="8" t="s">
        <v>15</v>
      </c>
      <c r="B7" s="1" t="s">
        <v>2926</v>
      </c>
      <c r="C7" s="1"/>
      <c r="D7" s="1"/>
      <c r="E7" s="1"/>
      <c r="F7" s="1"/>
    </row>
    <row r="8" spans="1:6" ht="15" customHeight="1" x14ac:dyDescent="0.35">
      <c r="A8" s="8" t="s">
        <v>2927</v>
      </c>
      <c r="B8" s="1" t="s">
        <v>2928</v>
      </c>
      <c r="C8" s="1"/>
      <c r="D8" s="1"/>
      <c r="E8" s="1"/>
      <c r="F8" s="1"/>
    </row>
    <row r="10" spans="1:6" ht="15.5" x14ac:dyDescent="0.35">
      <c r="A10" s="13" t="s">
        <v>2929</v>
      </c>
      <c r="B10" s="14"/>
      <c r="C10" s="14"/>
      <c r="D10" s="14"/>
      <c r="E10" s="14"/>
      <c r="F10" s="14"/>
    </row>
    <row r="11" spans="1:6" x14ac:dyDescent="0.35">
      <c r="A11" s="24" t="s">
        <v>2930</v>
      </c>
      <c r="B11" s="24" t="s">
        <v>2931</v>
      </c>
      <c r="C11" s="24" t="s">
        <v>2932</v>
      </c>
      <c r="D11" s="24" t="s">
        <v>2933</v>
      </c>
      <c r="E11" s="24" t="s">
        <v>2934</v>
      </c>
    </row>
    <row r="12" spans="1:6" ht="29" x14ac:dyDescent="0.35">
      <c r="A12" s="8" t="s">
        <v>2935</v>
      </c>
      <c r="B12" s="9" t="s">
        <v>2936</v>
      </c>
      <c r="C12" s="9" t="s">
        <v>2937</v>
      </c>
      <c r="D12" s="9" t="s">
        <v>2938</v>
      </c>
      <c r="E12" s="9" t="s">
        <v>2939</v>
      </c>
    </row>
    <row r="13" spans="1:6" ht="29" x14ac:dyDescent="0.35">
      <c r="A13" s="8" t="s">
        <v>2940</v>
      </c>
      <c r="B13" s="9" t="s">
        <v>2941</v>
      </c>
      <c r="C13" s="9" t="s">
        <v>2942</v>
      </c>
      <c r="D13" s="9" t="s">
        <v>2943</v>
      </c>
      <c r="E13" s="9" t="s">
        <v>2944</v>
      </c>
    </row>
    <row r="14" spans="1:6" ht="29" x14ac:dyDescent="0.35">
      <c r="A14" s="8" t="s">
        <v>2945</v>
      </c>
      <c r="B14" s="9" t="s">
        <v>2946</v>
      </c>
      <c r="C14" s="9" t="s">
        <v>2946</v>
      </c>
      <c r="D14" s="9" t="s">
        <v>2947</v>
      </c>
      <c r="E14" s="9" t="s">
        <v>2948</v>
      </c>
    </row>
    <row r="15" spans="1:6" x14ac:dyDescent="0.35">
      <c r="A15" s="8" t="s">
        <v>2949</v>
      </c>
      <c r="B15" s="9" t="s">
        <v>2946</v>
      </c>
      <c r="C15" s="9" t="s">
        <v>2946</v>
      </c>
      <c r="D15" s="9" t="s">
        <v>2950</v>
      </c>
      <c r="E15" s="9" t="s">
        <v>2951</v>
      </c>
    </row>
    <row r="16" spans="1:6" x14ac:dyDescent="0.35">
      <c r="A16" s="8" t="s">
        <v>2952</v>
      </c>
      <c r="B16" s="9" t="s">
        <v>2953</v>
      </c>
      <c r="C16" s="9" t="s">
        <v>2954</v>
      </c>
      <c r="D16" s="9" t="s">
        <v>462</v>
      </c>
      <c r="E16" s="9" t="s">
        <v>2955</v>
      </c>
    </row>
    <row r="17" spans="1:6" x14ac:dyDescent="0.35">
      <c r="A17" s="8" t="s">
        <v>2956</v>
      </c>
      <c r="B17" s="9" t="s">
        <v>2936</v>
      </c>
      <c r="C17" s="9" t="s">
        <v>2957</v>
      </c>
      <c r="D17" s="9" t="s">
        <v>2958</v>
      </c>
      <c r="E17" s="9" t="s">
        <v>2959</v>
      </c>
    </row>
    <row r="18" spans="1:6" x14ac:dyDescent="0.35">
      <c r="A18" s="8" t="s">
        <v>2960</v>
      </c>
      <c r="B18" s="9" t="s">
        <v>2961</v>
      </c>
      <c r="C18" s="9" t="s">
        <v>2962</v>
      </c>
      <c r="D18" s="9" t="s">
        <v>2963</v>
      </c>
      <c r="E18" s="9" t="s">
        <v>2964</v>
      </c>
    </row>
    <row r="19" spans="1:6" x14ac:dyDescent="0.35">
      <c r="A19" s="8" t="s">
        <v>2965</v>
      </c>
      <c r="B19" s="9" t="s">
        <v>2966</v>
      </c>
      <c r="C19" s="9" t="s">
        <v>2967</v>
      </c>
      <c r="D19" s="9" t="s">
        <v>2968</v>
      </c>
      <c r="E19" s="9" t="s">
        <v>2969</v>
      </c>
    </row>
    <row r="20" spans="1:6" ht="61.5" customHeight="1" x14ac:dyDescent="0.35">
      <c r="A20" s="8" t="s">
        <v>2970</v>
      </c>
      <c r="B20" s="9"/>
      <c r="C20" s="9"/>
      <c r="D20" s="9" t="s">
        <v>2971</v>
      </c>
      <c r="E20" s="9" t="s">
        <v>2972</v>
      </c>
    </row>
    <row r="22" spans="1:6" ht="15.5" x14ac:dyDescent="0.35">
      <c r="A22" s="13" t="s">
        <v>2973</v>
      </c>
      <c r="B22" s="14"/>
      <c r="C22" s="14"/>
      <c r="D22" s="14"/>
      <c r="E22" s="14"/>
      <c r="F22" s="14"/>
    </row>
    <row r="23" spans="1:6" x14ac:dyDescent="0.35">
      <c r="A23" s="24" t="s">
        <v>2974</v>
      </c>
      <c r="B23" s="24" t="s">
        <v>2975</v>
      </c>
      <c r="C23" s="24" t="s">
        <v>2976</v>
      </c>
      <c r="D23" s="24" t="s">
        <v>2977</v>
      </c>
      <c r="E23" s="24" t="s">
        <v>2978</v>
      </c>
    </row>
    <row r="24" spans="1:6" ht="58" x14ac:dyDescent="0.35">
      <c r="A24" s="8" t="s">
        <v>2979</v>
      </c>
      <c r="B24" s="9" t="s">
        <v>2980</v>
      </c>
      <c r="C24" s="9" t="s">
        <v>564</v>
      </c>
      <c r="D24" s="9" t="s">
        <v>2981</v>
      </c>
      <c r="E24" s="9" t="s">
        <v>2982</v>
      </c>
    </row>
    <row r="25" spans="1:6" ht="58" x14ac:dyDescent="0.35">
      <c r="A25" s="8" t="s">
        <v>2983</v>
      </c>
      <c r="B25" s="9" t="s">
        <v>2984</v>
      </c>
      <c r="C25" s="9" t="s">
        <v>582</v>
      </c>
      <c r="D25" s="9" t="s">
        <v>2985</v>
      </c>
      <c r="E25" s="9" t="s">
        <v>2986</v>
      </c>
    </row>
    <row r="26" spans="1:6" ht="58" x14ac:dyDescent="0.35">
      <c r="A26" s="8" t="s">
        <v>2987</v>
      </c>
      <c r="B26" s="9" t="s">
        <v>2988</v>
      </c>
      <c r="C26" s="9" t="s">
        <v>582</v>
      </c>
      <c r="D26" s="9" t="s">
        <v>2989</v>
      </c>
      <c r="E26" s="9" t="s">
        <v>2990</v>
      </c>
    </row>
    <row r="27" spans="1:6" ht="29" x14ac:dyDescent="0.35">
      <c r="A27" s="8" t="s">
        <v>2991</v>
      </c>
      <c r="B27" s="9" t="s">
        <v>2992</v>
      </c>
      <c r="C27" s="9" t="s">
        <v>648</v>
      </c>
      <c r="D27" s="9" t="s">
        <v>2993</v>
      </c>
      <c r="E27" s="9" t="s">
        <v>2994</v>
      </c>
    </row>
    <row r="28" spans="1:6" ht="29" x14ac:dyDescent="0.35">
      <c r="A28" s="8" t="s">
        <v>2995</v>
      </c>
      <c r="B28" s="9" t="s">
        <v>2992</v>
      </c>
      <c r="C28" s="9" t="s">
        <v>653</v>
      </c>
      <c r="D28" s="9" t="s">
        <v>2996</v>
      </c>
      <c r="E28" s="9" t="s">
        <v>2997</v>
      </c>
    </row>
    <row r="29" spans="1:6" ht="29" x14ac:dyDescent="0.35">
      <c r="A29" s="8" t="s">
        <v>2998</v>
      </c>
      <c r="B29" s="9" t="s">
        <v>2999</v>
      </c>
      <c r="C29" s="9" t="s">
        <v>659</v>
      </c>
      <c r="D29" s="9" t="s">
        <v>3000</v>
      </c>
      <c r="E29" s="9" t="s">
        <v>2997</v>
      </c>
    </row>
    <row r="30" spans="1:6" x14ac:dyDescent="0.35">
      <c r="A30" s="8" t="s">
        <v>3001</v>
      </c>
      <c r="B30" s="9" t="s">
        <v>3002</v>
      </c>
      <c r="C30" s="9" t="s">
        <v>665</v>
      </c>
      <c r="D30" s="9" t="s">
        <v>3003</v>
      </c>
      <c r="E30" s="9" t="s">
        <v>3004</v>
      </c>
    </row>
    <row r="31" spans="1:6" x14ac:dyDescent="0.35">
      <c r="A31" s="8" t="s">
        <v>3005</v>
      </c>
      <c r="B31" s="9" t="s">
        <v>3006</v>
      </c>
      <c r="C31" s="9" t="s">
        <v>685</v>
      </c>
      <c r="D31" s="9" t="s">
        <v>3007</v>
      </c>
      <c r="E31" s="9" t="s">
        <v>2994</v>
      </c>
    </row>
    <row r="32" spans="1:6" x14ac:dyDescent="0.35">
      <c r="A32" s="8" t="s">
        <v>3008</v>
      </c>
      <c r="B32" s="9" t="s">
        <v>3009</v>
      </c>
      <c r="C32" s="9" t="s">
        <v>761</v>
      </c>
      <c r="D32" s="9" t="s">
        <v>3010</v>
      </c>
      <c r="E32" s="9" t="s">
        <v>3011</v>
      </c>
    </row>
    <row r="33" spans="1:6" ht="29" x14ac:dyDescent="0.35">
      <c r="A33" s="8" t="s">
        <v>3012</v>
      </c>
      <c r="B33" s="9" t="s">
        <v>3013</v>
      </c>
      <c r="C33" s="9" t="s">
        <v>767</v>
      </c>
      <c r="D33" s="9" t="s">
        <v>3014</v>
      </c>
      <c r="E33" s="9" t="s">
        <v>3011</v>
      </c>
    </row>
    <row r="34" spans="1:6" x14ac:dyDescent="0.35">
      <c r="A34" s="8" t="s">
        <v>3015</v>
      </c>
      <c r="B34" s="9" t="s">
        <v>3016</v>
      </c>
      <c r="C34" s="9" t="s">
        <v>807</v>
      </c>
      <c r="D34" s="9" t="s">
        <v>3017</v>
      </c>
      <c r="E34" s="9" t="s">
        <v>3018</v>
      </c>
    </row>
    <row r="35" spans="1:6" ht="29" x14ac:dyDescent="0.35">
      <c r="A35" s="8" t="s">
        <v>3019</v>
      </c>
      <c r="B35" s="9" t="s">
        <v>3020</v>
      </c>
      <c r="C35" s="9" t="s">
        <v>2946</v>
      </c>
      <c r="D35" s="9" t="s">
        <v>3021</v>
      </c>
      <c r="E35" s="9" t="s">
        <v>3022</v>
      </c>
    </row>
    <row r="36" spans="1:6" ht="29" x14ac:dyDescent="0.35">
      <c r="A36" s="8" t="s">
        <v>3023</v>
      </c>
      <c r="B36" s="9" t="s">
        <v>3024</v>
      </c>
      <c r="C36" s="9" t="s">
        <v>3025</v>
      </c>
      <c r="D36" s="9" t="s">
        <v>3026</v>
      </c>
      <c r="E36" s="9" t="s">
        <v>3027</v>
      </c>
    </row>
    <row r="38" spans="1:6" ht="15.5" x14ac:dyDescent="0.35">
      <c r="A38" s="13" t="s">
        <v>3028</v>
      </c>
      <c r="B38" s="14"/>
      <c r="C38" s="14"/>
      <c r="D38" s="14"/>
      <c r="E38" s="14"/>
      <c r="F38" s="14"/>
    </row>
    <row r="39" spans="1:6" x14ac:dyDescent="0.35">
      <c r="A39" s="24" t="s">
        <v>3029</v>
      </c>
      <c r="B39" s="24" t="s">
        <v>2949</v>
      </c>
      <c r="C39" s="24" t="s">
        <v>3030</v>
      </c>
      <c r="D39" s="24" t="s">
        <v>2976</v>
      </c>
      <c r="E39" s="24" t="s">
        <v>2978</v>
      </c>
    </row>
    <row r="40" spans="1:6" ht="29" x14ac:dyDescent="0.35">
      <c r="A40" s="8" t="s">
        <v>3031</v>
      </c>
      <c r="B40" s="9" t="s">
        <v>3019</v>
      </c>
      <c r="C40" s="9" t="s">
        <v>3032</v>
      </c>
      <c r="D40" s="9" t="s">
        <v>1137</v>
      </c>
      <c r="E40" s="9" t="s">
        <v>3033</v>
      </c>
    </row>
    <row r="41" spans="1:6" x14ac:dyDescent="0.35">
      <c r="A41" s="8" t="s">
        <v>3034</v>
      </c>
      <c r="B41" s="9" t="s">
        <v>3019</v>
      </c>
      <c r="C41" s="9" t="s">
        <v>3035</v>
      </c>
      <c r="D41" s="9" t="s">
        <v>1144</v>
      </c>
      <c r="E41" s="9" t="s">
        <v>3036</v>
      </c>
    </row>
    <row r="42" spans="1:6" x14ac:dyDescent="0.35">
      <c r="A42" s="8" t="s">
        <v>3037</v>
      </c>
      <c r="B42" s="9" t="s">
        <v>3019</v>
      </c>
      <c r="C42" s="9" t="s">
        <v>3038</v>
      </c>
      <c r="D42" s="9" t="s">
        <v>1163</v>
      </c>
      <c r="E42" s="9" t="s">
        <v>3039</v>
      </c>
    </row>
    <row r="43" spans="1:6" x14ac:dyDescent="0.35">
      <c r="A43" s="8" t="s">
        <v>3040</v>
      </c>
      <c r="B43" s="9" t="s">
        <v>3019</v>
      </c>
      <c r="C43" s="9" t="s">
        <v>3041</v>
      </c>
      <c r="D43" s="9" t="s">
        <v>1221</v>
      </c>
      <c r="E43" s="9" t="s">
        <v>3042</v>
      </c>
    </row>
    <row r="44" spans="1:6" x14ac:dyDescent="0.35">
      <c r="A44" s="8" t="s">
        <v>3043</v>
      </c>
      <c r="B44" s="9" t="s">
        <v>3019</v>
      </c>
      <c r="C44" s="9" t="s">
        <v>3044</v>
      </c>
      <c r="D44" s="9" t="s">
        <v>1227</v>
      </c>
      <c r="E44" s="9" t="s">
        <v>3045</v>
      </c>
    </row>
    <row r="45" spans="1:6" ht="29" x14ac:dyDescent="0.35">
      <c r="A45" s="8" t="s">
        <v>3046</v>
      </c>
      <c r="B45" s="9" t="s">
        <v>3019</v>
      </c>
      <c r="C45" s="9" t="s">
        <v>3047</v>
      </c>
      <c r="D45" s="9" t="s">
        <v>1254</v>
      </c>
      <c r="E45" s="9" t="s">
        <v>3048</v>
      </c>
    </row>
    <row r="46" spans="1:6" x14ac:dyDescent="0.35">
      <c r="A46" s="8" t="s">
        <v>3049</v>
      </c>
      <c r="B46" s="9" t="s">
        <v>3019</v>
      </c>
      <c r="C46" s="9" t="s">
        <v>3032</v>
      </c>
      <c r="D46" s="9" t="s">
        <v>1276</v>
      </c>
      <c r="E46" s="9" t="s">
        <v>3050</v>
      </c>
    </row>
    <row r="47" spans="1:6" ht="29" x14ac:dyDescent="0.35">
      <c r="A47" s="8" t="s">
        <v>3051</v>
      </c>
      <c r="B47" s="9" t="s">
        <v>2946</v>
      </c>
      <c r="C47" s="9" t="s">
        <v>2946</v>
      </c>
      <c r="D47" s="9" t="s">
        <v>2946</v>
      </c>
      <c r="E47" s="9" t="s">
        <v>3052</v>
      </c>
    </row>
    <row r="48" spans="1:6" ht="29" x14ac:dyDescent="0.35">
      <c r="A48" s="8" t="s">
        <v>3053</v>
      </c>
      <c r="B48" s="9" t="s">
        <v>2946</v>
      </c>
      <c r="C48" s="9" t="s">
        <v>2946</v>
      </c>
      <c r="D48" s="9" t="s">
        <v>2946</v>
      </c>
      <c r="E48" s="9" t="s">
        <v>3054</v>
      </c>
    </row>
    <row r="49" spans="1:6" ht="29" x14ac:dyDescent="0.35">
      <c r="A49" s="8" t="s">
        <v>3055</v>
      </c>
      <c r="B49" s="9" t="s">
        <v>2946</v>
      </c>
      <c r="C49" s="9" t="s">
        <v>2946</v>
      </c>
      <c r="D49" s="9" t="s">
        <v>2946</v>
      </c>
      <c r="E49" s="9" t="s">
        <v>3056</v>
      </c>
    </row>
    <row r="51" spans="1:6" ht="15.5" x14ac:dyDescent="0.35">
      <c r="A51" s="13" t="s">
        <v>3057</v>
      </c>
      <c r="B51" s="14"/>
      <c r="C51" s="14"/>
      <c r="D51" s="14"/>
      <c r="E51" s="14"/>
      <c r="F51" s="14"/>
    </row>
    <row r="52" spans="1:6" x14ac:dyDescent="0.35">
      <c r="A52" s="24" t="s">
        <v>2191</v>
      </c>
      <c r="B52" s="24" t="s">
        <v>3058</v>
      </c>
    </row>
    <row r="53" spans="1:6" ht="15" customHeight="1" x14ac:dyDescent="0.35">
      <c r="A53" s="8" t="s">
        <v>2200</v>
      </c>
      <c r="B53" s="1" t="s">
        <v>3059</v>
      </c>
      <c r="C53" s="1"/>
      <c r="D53" s="1"/>
      <c r="E53" s="1"/>
      <c r="F53" s="1"/>
    </row>
    <row r="54" spans="1:6" ht="15" customHeight="1" x14ac:dyDescent="0.35">
      <c r="A54" s="8" t="s">
        <v>2219</v>
      </c>
      <c r="B54" s="1" t="s">
        <v>3060</v>
      </c>
      <c r="C54" s="1"/>
      <c r="D54" s="1"/>
      <c r="E54" s="1"/>
      <c r="F54" s="1"/>
    </row>
    <row r="55" spans="1:6" ht="15" customHeight="1" x14ac:dyDescent="0.35">
      <c r="A55" s="8" t="s">
        <v>2279</v>
      </c>
      <c r="B55" s="1" t="s">
        <v>3061</v>
      </c>
      <c r="C55" s="1"/>
      <c r="D55" s="1"/>
      <c r="E55" s="1"/>
      <c r="F55" s="1"/>
    </row>
    <row r="56" spans="1:6" ht="15" customHeight="1" x14ac:dyDescent="0.35">
      <c r="A56" s="8" t="s">
        <v>2299</v>
      </c>
      <c r="B56" s="1" t="s">
        <v>3062</v>
      </c>
      <c r="C56" s="1"/>
      <c r="D56" s="1"/>
      <c r="E56" s="1"/>
      <c r="F56" s="1"/>
    </row>
    <row r="57" spans="1:6" ht="15" customHeight="1" x14ac:dyDescent="0.35">
      <c r="A57" s="8" t="s">
        <v>2306</v>
      </c>
      <c r="B57" s="1" t="s">
        <v>3063</v>
      </c>
      <c r="C57" s="1"/>
      <c r="D57" s="1"/>
      <c r="E57" s="1"/>
      <c r="F57" s="1"/>
    </row>
    <row r="58" spans="1:6" ht="15" customHeight="1" x14ac:dyDescent="0.35">
      <c r="A58" s="8" t="s">
        <v>2326</v>
      </c>
      <c r="B58" s="1" t="s">
        <v>3064</v>
      </c>
      <c r="C58" s="1"/>
      <c r="D58" s="1"/>
      <c r="E58" s="1"/>
      <c r="F58" s="1"/>
    </row>
    <row r="59" spans="1:6" ht="15" customHeight="1" x14ac:dyDescent="0.35">
      <c r="A59" s="8" t="s">
        <v>2340</v>
      </c>
      <c r="B59" s="1" t="s">
        <v>3065</v>
      </c>
      <c r="C59" s="1"/>
      <c r="D59" s="1"/>
      <c r="E59" s="1"/>
      <c r="F59" s="1"/>
    </row>
    <row r="60" spans="1:6" ht="15" customHeight="1" x14ac:dyDescent="0.35">
      <c r="A60" s="8" t="s">
        <v>2348</v>
      </c>
      <c r="B60" s="1" t="s">
        <v>3066</v>
      </c>
      <c r="C60" s="1"/>
      <c r="D60" s="1"/>
      <c r="E60" s="1"/>
      <c r="F60" s="1"/>
    </row>
    <row r="61" spans="1:6" ht="15" customHeight="1" x14ac:dyDescent="0.35">
      <c r="A61" s="8" t="s">
        <v>2369</v>
      </c>
      <c r="B61" s="1" t="s">
        <v>3067</v>
      </c>
      <c r="C61" s="1"/>
      <c r="D61" s="1"/>
      <c r="E61" s="1"/>
      <c r="F61" s="1"/>
    </row>
    <row r="62" spans="1:6" ht="15" customHeight="1" x14ac:dyDescent="0.35">
      <c r="A62" s="8" t="s">
        <v>2381</v>
      </c>
      <c r="B62" s="1" t="s">
        <v>3068</v>
      </c>
      <c r="C62" s="1"/>
      <c r="D62" s="1"/>
      <c r="E62" s="1"/>
      <c r="F62" s="1"/>
    </row>
    <row r="63" spans="1:6" ht="15" customHeight="1" x14ac:dyDescent="0.35">
      <c r="A63" s="8" t="s">
        <v>2408</v>
      </c>
      <c r="B63" s="1" t="s">
        <v>3069</v>
      </c>
      <c r="C63" s="1"/>
      <c r="D63" s="1"/>
      <c r="E63" s="1"/>
      <c r="F63" s="1"/>
    </row>
    <row r="64" spans="1:6" ht="15" customHeight="1" x14ac:dyDescent="0.35">
      <c r="A64" s="8" t="s">
        <v>2418</v>
      </c>
      <c r="B64" s="1" t="s">
        <v>3070</v>
      </c>
      <c r="C64" s="1"/>
      <c r="D64" s="1"/>
      <c r="E64" s="1"/>
      <c r="F64" s="1"/>
    </row>
    <row r="65" spans="1:6" ht="15" customHeight="1" x14ac:dyDescent="0.35">
      <c r="A65" s="8" t="s">
        <v>2428</v>
      </c>
      <c r="B65" s="1" t="s">
        <v>3071</v>
      </c>
      <c r="C65" s="1"/>
      <c r="D65" s="1"/>
      <c r="E65" s="1"/>
      <c r="F65" s="1"/>
    </row>
    <row r="66" spans="1:6" ht="15" customHeight="1" x14ac:dyDescent="0.35">
      <c r="A66" s="8" t="s">
        <v>2454</v>
      </c>
      <c r="B66" s="1" t="s">
        <v>3072</v>
      </c>
      <c r="C66" s="1"/>
      <c r="D66" s="1"/>
      <c r="E66" s="1"/>
      <c r="F66" s="1"/>
    </row>
    <row r="68" spans="1:6" ht="15.5" x14ac:dyDescent="0.35">
      <c r="A68" s="13" t="s">
        <v>3073</v>
      </c>
      <c r="B68" s="14"/>
      <c r="C68" s="14"/>
      <c r="D68" s="14"/>
      <c r="E68" s="14"/>
      <c r="F68" s="14"/>
    </row>
    <row r="69" spans="1:6" x14ac:dyDescent="0.35">
      <c r="A69" s="24" t="s">
        <v>3074</v>
      </c>
      <c r="B69" s="24" t="s">
        <v>3075</v>
      </c>
    </row>
    <row r="70" spans="1:6" ht="15" customHeight="1" x14ac:dyDescent="0.35">
      <c r="A70" s="8" t="s">
        <v>3076</v>
      </c>
      <c r="B70" s="1" t="s">
        <v>3077</v>
      </c>
      <c r="C70" s="1"/>
      <c r="D70" s="1"/>
      <c r="E70" s="1"/>
      <c r="F70" s="1"/>
    </row>
    <row r="71" spans="1:6" ht="15" customHeight="1" x14ac:dyDescent="0.35">
      <c r="A71" s="8" t="s">
        <v>3078</v>
      </c>
      <c r="B71" s="1" t="s">
        <v>3079</v>
      </c>
      <c r="C71" s="1"/>
      <c r="D71" s="1"/>
      <c r="E71" s="1"/>
      <c r="F71" s="1"/>
    </row>
    <row r="72" spans="1:6" ht="15" customHeight="1" x14ac:dyDescent="0.35">
      <c r="A72" s="8" t="s">
        <v>3080</v>
      </c>
      <c r="B72" s="1" t="s">
        <v>3081</v>
      </c>
      <c r="C72" s="1"/>
      <c r="D72" s="1"/>
      <c r="E72" s="1"/>
      <c r="F72" s="1"/>
    </row>
    <row r="73" spans="1:6" ht="15" customHeight="1" x14ac:dyDescent="0.35">
      <c r="A73" s="8" t="s">
        <v>3082</v>
      </c>
      <c r="B73" s="1" t="s">
        <v>3083</v>
      </c>
      <c r="C73" s="1"/>
      <c r="D73" s="1"/>
      <c r="E73" s="1"/>
      <c r="F73" s="1"/>
    </row>
    <row r="74" spans="1:6" ht="15" customHeight="1" x14ac:dyDescent="0.35">
      <c r="A74" s="8" t="s">
        <v>3084</v>
      </c>
      <c r="B74" s="1" t="s">
        <v>3085</v>
      </c>
      <c r="C74" s="1"/>
      <c r="D74" s="1"/>
      <c r="E74" s="1"/>
      <c r="F74" s="1"/>
    </row>
    <row r="75" spans="1:6" ht="15" customHeight="1" x14ac:dyDescent="0.35">
      <c r="A75" s="8" t="s">
        <v>3086</v>
      </c>
      <c r="B75" s="1" t="s">
        <v>3087</v>
      </c>
      <c r="C75" s="1"/>
      <c r="D75" s="1"/>
      <c r="E75" s="1"/>
      <c r="F75" s="1"/>
    </row>
    <row r="76" spans="1:6" ht="15" customHeight="1" x14ac:dyDescent="0.35">
      <c r="A76" s="8" t="s">
        <v>2932</v>
      </c>
      <c r="B76" s="1" t="s">
        <v>3088</v>
      </c>
      <c r="C76" s="1"/>
      <c r="D76" s="1"/>
      <c r="E76" s="1"/>
      <c r="F76" s="1"/>
    </row>
    <row r="77" spans="1:6" ht="15" customHeight="1" x14ac:dyDescent="0.35">
      <c r="A77" s="8" t="s">
        <v>3089</v>
      </c>
      <c r="B77" s="1" t="s">
        <v>3090</v>
      </c>
      <c r="C77" s="1"/>
      <c r="D77" s="1"/>
      <c r="E77" s="1"/>
      <c r="F77" s="1"/>
    </row>
    <row r="78" spans="1:6" ht="15" customHeight="1" x14ac:dyDescent="0.35">
      <c r="A78" s="8" t="s">
        <v>3091</v>
      </c>
      <c r="B78" s="1" t="s">
        <v>3092</v>
      </c>
      <c r="C78" s="1"/>
      <c r="D78" s="1"/>
      <c r="E78" s="1"/>
      <c r="F78" s="1"/>
    </row>
    <row r="79" spans="1:6" ht="15" customHeight="1" x14ac:dyDescent="0.35">
      <c r="A79" s="8" t="s">
        <v>422</v>
      </c>
      <c r="B79" s="1" t="s">
        <v>3093</v>
      </c>
      <c r="C79" s="1"/>
      <c r="D79" s="1"/>
      <c r="E79" s="1"/>
      <c r="F79" s="1"/>
    </row>
    <row r="80" spans="1:6" ht="15" customHeight="1" x14ac:dyDescent="0.35">
      <c r="A80" s="8" t="s">
        <v>3094</v>
      </c>
      <c r="B80" s="1" t="s">
        <v>3095</v>
      </c>
      <c r="C80" s="1"/>
      <c r="D80" s="1"/>
      <c r="E80" s="1"/>
      <c r="F80" s="1"/>
    </row>
    <row r="82" spans="1:6" ht="15.5" x14ac:dyDescent="0.35">
      <c r="A82" s="13" t="s">
        <v>3096</v>
      </c>
      <c r="B82" s="14"/>
      <c r="C82" s="14"/>
      <c r="D82" s="14"/>
      <c r="E82" s="14"/>
      <c r="F82" s="14"/>
    </row>
    <row r="83" spans="1:6" ht="30" customHeight="1" x14ac:dyDescent="0.35">
      <c r="A83" s="2" t="s">
        <v>3097</v>
      </c>
      <c r="B83" s="2"/>
      <c r="C83" s="2"/>
      <c r="D83" s="2"/>
      <c r="E83" s="2"/>
      <c r="F83" s="2"/>
    </row>
    <row r="84" spans="1:6" ht="30" customHeight="1" x14ac:dyDescent="0.35">
      <c r="A84" s="2" t="s">
        <v>3098</v>
      </c>
      <c r="B84" s="2"/>
      <c r="C84" s="2"/>
      <c r="D84" s="2"/>
      <c r="E84" s="2"/>
      <c r="F84" s="2"/>
    </row>
    <row r="85" spans="1:6" ht="30" customHeight="1" x14ac:dyDescent="0.35">
      <c r="A85" s="2" t="s">
        <v>3099</v>
      </c>
      <c r="B85" s="2"/>
      <c r="C85" s="2"/>
      <c r="D85" s="2"/>
      <c r="E85" s="2"/>
      <c r="F85" s="2"/>
    </row>
    <row r="86" spans="1:6" ht="30" customHeight="1" x14ac:dyDescent="0.35">
      <c r="A86" s="2" t="s">
        <v>3100</v>
      </c>
      <c r="B86" s="2"/>
      <c r="C86" s="2"/>
      <c r="D86" s="2"/>
      <c r="E86" s="2"/>
      <c r="F86" s="2"/>
    </row>
    <row r="87" spans="1:6" ht="30" customHeight="1" x14ac:dyDescent="0.35">
      <c r="A87" s="2" t="s">
        <v>3101</v>
      </c>
      <c r="B87" s="2"/>
      <c r="C87" s="2"/>
      <c r="D87" s="2"/>
      <c r="E87" s="2"/>
      <c r="F87" s="2"/>
    </row>
    <row r="88" spans="1:6" ht="30" customHeight="1" x14ac:dyDescent="0.35">
      <c r="A88" s="2" t="s">
        <v>3102</v>
      </c>
      <c r="B88" s="2"/>
      <c r="C88" s="2"/>
      <c r="D88" s="2"/>
      <c r="E88" s="2"/>
      <c r="F88" s="2"/>
    </row>
    <row r="89" spans="1:6" ht="30" customHeight="1" x14ac:dyDescent="0.35">
      <c r="A89" s="2" t="s">
        <v>3103</v>
      </c>
      <c r="B89" s="2"/>
      <c r="C89" s="2"/>
      <c r="D89" s="2"/>
      <c r="E89" s="2"/>
      <c r="F89" s="2"/>
    </row>
  </sheetData>
  <mergeCells count="36">
    <mergeCell ref="A89:F89"/>
    <mergeCell ref="A84:F84"/>
    <mergeCell ref="A85:F85"/>
    <mergeCell ref="A86:F86"/>
    <mergeCell ref="A87:F87"/>
    <mergeCell ref="A88:F88"/>
    <mergeCell ref="B77:F77"/>
    <mergeCell ref="B78:F78"/>
    <mergeCell ref="B79:F79"/>
    <mergeCell ref="B80:F80"/>
    <mergeCell ref="A83:F83"/>
    <mergeCell ref="B72:F72"/>
    <mergeCell ref="B73:F73"/>
    <mergeCell ref="B74:F74"/>
    <mergeCell ref="B75:F75"/>
    <mergeCell ref="B76:F76"/>
    <mergeCell ref="B64:F64"/>
    <mergeCell ref="B65:F65"/>
    <mergeCell ref="B66:F66"/>
    <mergeCell ref="B70:F70"/>
    <mergeCell ref="B71:F71"/>
    <mergeCell ref="B59:F59"/>
    <mergeCell ref="B60:F60"/>
    <mergeCell ref="B61:F61"/>
    <mergeCell ref="B62:F62"/>
    <mergeCell ref="B63:F63"/>
    <mergeCell ref="B54:F54"/>
    <mergeCell ref="B55:F55"/>
    <mergeCell ref="B56:F56"/>
    <mergeCell ref="B57:F57"/>
    <mergeCell ref="B58:F58"/>
    <mergeCell ref="B5:F5"/>
    <mergeCell ref="B6:F6"/>
    <mergeCell ref="B7:F7"/>
    <mergeCell ref="B8:F8"/>
    <mergeCell ref="B53:F5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Test Plan</vt:lpstr>
      <vt:lpstr>Test Scenarios</vt:lpstr>
      <vt:lpstr>Test Cases</vt:lpstr>
      <vt:lpstr>RTM</vt:lpstr>
      <vt:lpstr>Bug Report</vt:lpstr>
      <vt:lpstr>Failed-Blocked Tests</vt:lpstr>
      <vt:lpstr>Test Summary Report</vt:lpstr>
      <vt:lpstr>Test Data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amjad khaled</cp:lastModifiedBy>
  <cp:revision>1</cp:revision>
  <dcterms:created xsi:type="dcterms:W3CDTF">2026-10-14T23:56:00Z</dcterms:created>
  <dcterms:modified xsi:type="dcterms:W3CDTF">2026-10-15T00:20:52Z</dcterms:modified>
  <dc:language>en-US</dc:language>
</cp:coreProperties>
</file>